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91" activeTab="7"/>
  </bookViews>
  <sheets>
    <sheet name="Board" sheetId="1" r:id="rId1"/>
    <sheet name="Thrust Area" sheetId="3" r:id="rId2"/>
    <sheet name="Resources" sheetId="4" r:id="rId3"/>
    <sheet name="Impact Stories" sheetId="5" r:id="rId4"/>
    <sheet name="Donor List" sheetId="7" r:id="rId5"/>
    <sheet name="Prog Details" sheetId="8" r:id="rId6"/>
    <sheet name="KeyAchievement" sheetId="6" r:id="rId7"/>
    <sheet name="Bank Ac" sheetId="2" r:id="rId8"/>
  </sheets>
  <calcPr calcId="152511"/>
</workbook>
</file>

<file path=xl/calcChain.xml><?xml version="1.0" encoding="utf-8"?>
<calcChain xmlns="http://schemas.openxmlformats.org/spreadsheetml/2006/main">
  <c r="D30" i="5" l="1"/>
  <c r="J126" i="8"/>
  <c r="J121" i="8"/>
</calcChain>
</file>

<file path=xl/sharedStrings.xml><?xml version="1.0" encoding="utf-8"?>
<sst xmlns="http://schemas.openxmlformats.org/spreadsheetml/2006/main" count="742" uniqueCount="258">
  <si>
    <t>Bank Name</t>
  </si>
  <si>
    <t>Indian Bank</t>
  </si>
  <si>
    <t>Branch Name</t>
  </si>
  <si>
    <t>Dhenkanal</t>
  </si>
  <si>
    <t>IFSC</t>
  </si>
  <si>
    <t>IDIB000D627</t>
  </si>
  <si>
    <t>Accoun Number</t>
  </si>
  <si>
    <t>Account for Individual &amp; Instituional Donation</t>
  </si>
  <si>
    <t>MISSION (Admin Fund)</t>
  </si>
  <si>
    <t>Name of Account Holder</t>
  </si>
  <si>
    <t xml:space="preserve">MISSION </t>
  </si>
  <si>
    <t>Account for Grants from Govt. Agencies 
(Ministry/Department/Autonomous Agency)</t>
  </si>
  <si>
    <t>Funds accepted through NEFT/RTGS/QR Code only</t>
  </si>
  <si>
    <t>Funds accepted through Cheque/DD/NEFT/RTGS only</t>
  </si>
  <si>
    <t>A</t>
  </si>
  <si>
    <t>B</t>
  </si>
  <si>
    <t>C</t>
  </si>
  <si>
    <t>Account for CSR Grant/Donation</t>
  </si>
  <si>
    <t>Donation form</t>
  </si>
  <si>
    <t>Name of Donor</t>
  </si>
  <si>
    <t>Union Bank of India</t>
  </si>
  <si>
    <t>UBIN0919799</t>
  </si>
  <si>
    <t>e-mail ID</t>
  </si>
  <si>
    <t>PAN</t>
  </si>
  <si>
    <t>Sri Byomojyoti Biswal</t>
  </si>
  <si>
    <t>President</t>
  </si>
  <si>
    <t>Dr. Prabodha Kumar Moharana</t>
  </si>
  <si>
    <t>Smt Ankita Sahoo</t>
  </si>
  <si>
    <t>Smt Punyaprava Mohanty</t>
  </si>
  <si>
    <t>Smt Sudipti Sahoo</t>
  </si>
  <si>
    <t>Sri Jeeban Prakash Das</t>
  </si>
  <si>
    <t>Sri Swadesh Ranjan Mohapatra</t>
  </si>
  <si>
    <t>Secretary</t>
  </si>
  <si>
    <t>Vice-President</t>
  </si>
  <si>
    <t>Treasurer</t>
  </si>
  <si>
    <t>Executive Member</t>
  </si>
  <si>
    <t>SN</t>
  </si>
  <si>
    <t>Name</t>
  </si>
  <si>
    <t>Designation</t>
  </si>
  <si>
    <t>Expertise</t>
  </si>
  <si>
    <t>GOVERNING BODY MEMBERS</t>
  </si>
  <si>
    <t>Education</t>
  </si>
  <si>
    <t>Focused Area</t>
  </si>
  <si>
    <t>Livelihood &amp; Enterprise Development</t>
  </si>
  <si>
    <t>FPO promotion &amp; valuechain development</t>
  </si>
  <si>
    <t>Traditional Artisan empowerment</t>
  </si>
  <si>
    <t>Skill Development</t>
  </si>
  <si>
    <t>Health Awareness</t>
  </si>
  <si>
    <t>Child Care &amp; Oldage Support</t>
  </si>
  <si>
    <t>Annual Report</t>
  </si>
  <si>
    <t>Training Manual</t>
  </si>
  <si>
    <t>Reaserch &amp; Learning Document</t>
  </si>
  <si>
    <t>Video</t>
  </si>
  <si>
    <t>Enterprise DPR</t>
  </si>
  <si>
    <t>Concept Note</t>
  </si>
  <si>
    <t>Sector wise success stries</t>
  </si>
  <si>
    <t>Market Linkage of Rural Products</t>
  </si>
  <si>
    <t>Sucessfully implementation of NABARD supported projects</t>
  </si>
  <si>
    <t>Formation &amp; stregngthening of FPO &amp; Producer org</t>
  </si>
  <si>
    <t>Adoption of technology driven solution in agriculture &amp; livelihood</t>
  </si>
  <si>
    <t>Capacity building of community institution</t>
  </si>
  <si>
    <t>EDP training</t>
  </si>
  <si>
    <t>Land Rights/Jaga Mission</t>
  </si>
  <si>
    <t>Law</t>
  </si>
  <si>
    <t xml:space="preserve">Social </t>
  </si>
  <si>
    <t>Micro finance and mobilization</t>
  </si>
  <si>
    <t>Accounts</t>
  </si>
  <si>
    <t>IT &amp; ITES</t>
  </si>
  <si>
    <t>Engineering</t>
  </si>
  <si>
    <t>Yet to prepare</t>
  </si>
  <si>
    <t>LEDP-Goat</t>
  </si>
  <si>
    <t>LEDP-Backyard Poultry</t>
  </si>
  <si>
    <t>LEDP-Tailoring</t>
  </si>
  <si>
    <t>LEDP-Bamboo</t>
  </si>
  <si>
    <t>LEDP-Pottery</t>
  </si>
  <si>
    <t>MEDP-Mushroom</t>
  </si>
  <si>
    <t>MEDP-Bee Keeping</t>
  </si>
  <si>
    <t>ESDP-Solar technician</t>
  </si>
  <si>
    <t>ESDP-Cosmetology</t>
  </si>
  <si>
    <t>ESDP-Mushroom</t>
  </si>
  <si>
    <t>ESDP-Computer Education</t>
  </si>
  <si>
    <t>List of Supporting Agencies, Ministries and  Department of Govt of India and Govt. of Odisha Supported with Financial Assistance to MISSION from its inception.</t>
  </si>
  <si>
    <t>Name of Ministries/Departments/Private Agencies</t>
  </si>
  <si>
    <t>CAPART</t>
  </si>
  <si>
    <t>CED, Dept of PR&amp;DW, Govt. of Odisha</t>
  </si>
  <si>
    <t>Central Social Welfare Board, Govt. of India.</t>
  </si>
  <si>
    <t>CSC e-Governance Services India Ltd.</t>
  </si>
  <si>
    <t>DC, Handicrafts, Govt. of India.</t>
  </si>
  <si>
    <t>Dept. of Health &amp; Family Welfare, Govt. of Odisha</t>
  </si>
  <si>
    <t>Dept. of SC, ST OBC welfare, Govt. of Odisha</t>
  </si>
  <si>
    <t>Director of Handicrafts, Govt. of Odisha</t>
  </si>
  <si>
    <t>Director of Industries, Govt. of Odisha</t>
  </si>
  <si>
    <t>Eco Metrix</t>
  </si>
  <si>
    <t>ESDL</t>
  </si>
  <si>
    <t>H&amp;UD Department, Govt. of Odisha</t>
  </si>
  <si>
    <t>Health &amp; Family Welfare Dept. Govt. of Odisha.</t>
  </si>
  <si>
    <t>HfHI</t>
  </si>
  <si>
    <t>KVIB, Govt. of Odisha.</t>
  </si>
  <si>
    <t>KVIC, Govt. of India.</t>
  </si>
  <si>
    <t>Larus</t>
  </si>
  <si>
    <t>Ministry of AYUSH, Govt. of India</t>
  </si>
  <si>
    <t>Ministry of Forest &amp; Environment, Govt. of India.</t>
  </si>
  <si>
    <t>Ministry of MSME, Govt. of India</t>
  </si>
  <si>
    <t>Ministry of Youth Affairs &amp; Sports, Govt. of India.</t>
  </si>
  <si>
    <t>NABARD</t>
  </si>
  <si>
    <t>NABCONS</t>
  </si>
  <si>
    <t>National Health Mission, Govt. of Odisha</t>
  </si>
  <si>
    <t>NIN, Pune, Govt. of India.</t>
  </si>
  <si>
    <t>OCAC, Department of IT., Govt. of Odisha.</t>
  </si>
  <si>
    <t>Odisha Livilihood Mission</t>
  </si>
  <si>
    <t>OKCL</t>
  </si>
  <si>
    <t>OSFDC, Govt. of Odisha.</t>
  </si>
  <si>
    <t>PRIVE</t>
  </si>
  <si>
    <t>RBI</t>
  </si>
  <si>
    <t>RWSS, Dhenkanal, Govt. of Odisha.</t>
  </si>
  <si>
    <t>SIRD, Panchayat Raj Department, Govt. of Odisha.</t>
  </si>
  <si>
    <t>Sri Technologies</t>
  </si>
  <si>
    <t>UMC, Ahemadabad</t>
  </si>
  <si>
    <t>Trident Academy of Management</t>
  </si>
  <si>
    <t>L &amp; K Services Pvt Ltd</t>
  </si>
  <si>
    <t>Edu Jobs Academy Pvt Ltd</t>
  </si>
  <si>
    <t>Details of Activities Undertaken by MISSION with the Grant support of Different Ministries, Departments &amp; Private Agencies Since its inception.</t>
  </si>
  <si>
    <t>Year</t>
  </si>
  <si>
    <t>Activities Undertaken</t>
  </si>
  <si>
    <t>Supporting Agency</t>
  </si>
  <si>
    <t>Project Status</t>
  </si>
  <si>
    <t>2006-07</t>
  </si>
  <si>
    <t>Condensed Course Education</t>
  </si>
  <si>
    <t>Completed</t>
  </si>
  <si>
    <t>National Environment Awareness Campaign</t>
  </si>
  <si>
    <t>Total Sanitation Campaign</t>
  </si>
  <si>
    <t>2007-08</t>
  </si>
  <si>
    <t>Creche</t>
  </si>
  <si>
    <t>Awareness on Yoga &amp; Naturopathy</t>
  </si>
  <si>
    <t>Vocational Training/EDP/ESDP/MDP</t>
  </si>
  <si>
    <t>Promotion of Cottage Industries</t>
  </si>
  <si>
    <t>DIC, Director of Industries, Govt. of Odisha</t>
  </si>
  <si>
    <t>Awareness on SC &amp; ST Untouchability</t>
  </si>
  <si>
    <t>2008-09</t>
  </si>
  <si>
    <t>National Integration Camp</t>
  </si>
  <si>
    <t>Skill Training to unemployed Youth</t>
  </si>
  <si>
    <t>EDP training to PMEGP beneficiaries</t>
  </si>
  <si>
    <t>2009-10</t>
  </si>
  <si>
    <t>Capacity Building Training to ULB officials</t>
  </si>
  <si>
    <t>Design &amp; Technical Development Workshop</t>
  </si>
  <si>
    <t>Entreprenuership &amp; Skill Development Training to SC candidates</t>
  </si>
  <si>
    <t>2010-11</t>
  </si>
  <si>
    <t>EDP/ESDP/MDP</t>
  </si>
  <si>
    <t>Entreprenuership &amp; Skill Development Training on Brass &amp; Bell Metal</t>
  </si>
  <si>
    <t>Exhibition for PMEGP beneficiaries</t>
  </si>
  <si>
    <t>2012-13</t>
  </si>
  <si>
    <t>STEP-UP (Skill training to urban umemployed youth &amp; SHG)</t>
  </si>
  <si>
    <t>2011-12</t>
  </si>
  <si>
    <t>EDP &amp; MDP</t>
  </si>
  <si>
    <t>RGUMY</t>
  </si>
  <si>
    <t>Skill Training to SC &amp; ST unemployed Youth</t>
  </si>
  <si>
    <t>Capacity Building of PRI members</t>
  </si>
  <si>
    <t>Skill Training under SGSy Special Project</t>
  </si>
  <si>
    <t>USHA Survey</t>
  </si>
  <si>
    <t>Survey for Manual Scavengers</t>
  </si>
  <si>
    <t>EDP, ESDP, MDP</t>
  </si>
  <si>
    <t>Skill Training OSCIT</t>
  </si>
  <si>
    <t>2013-14</t>
  </si>
  <si>
    <t>Vocational training to SC/ST</t>
  </si>
  <si>
    <t>Skill Training Special Project</t>
  </si>
  <si>
    <t>2014-15</t>
  </si>
  <si>
    <t>e-Vidyalaya</t>
  </si>
  <si>
    <t>Odisha Knoledge Corporation Ltd.</t>
  </si>
  <si>
    <t>PMKVY</t>
  </si>
  <si>
    <t>Shri Technology</t>
  </si>
  <si>
    <t>Placement Linked Training</t>
  </si>
  <si>
    <t>2015-16</t>
  </si>
  <si>
    <t>EST&amp;P NULM</t>
  </si>
  <si>
    <t>Tri-ICT Aviyan</t>
  </si>
  <si>
    <t>CSR of Trident Group</t>
  </si>
  <si>
    <t>EST&amp;P OULM</t>
  </si>
  <si>
    <t>NDLM</t>
  </si>
  <si>
    <t>2016-17</t>
  </si>
  <si>
    <t>IAC</t>
  </si>
  <si>
    <t>Workshop on IPR</t>
  </si>
  <si>
    <t>EDP</t>
  </si>
  <si>
    <t>2017-18</t>
  </si>
  <si>
    <t>RO-NULM</t>
  </si>
  <si>
    <t>ESDP on Household Chemicals</t>
  </si>
  <si>
    <t>EShakti</t>
  </si>
  <si>
    <t>IHHL-SBM</t>
  </si>
  <si>
    <t>Department of PR &amp; DW , Govt. of Odisha</t>
  </si>
  <si>
    <t>Capacity Building of WKS</t>
  </si>
  <si>
    <t>Survey for OUHM</t>
  </si>
  <si>
    <t>Workshop on ZED</t>
  </si>
  <si>
    <t>2018-19</t>
  </si>
  <si>
    <t>GRLTP</t>
  </si>
  <si>
    <t>Strengthening of Sanitation Based Enterprises</t>
  </si>
  <si>
    <t>2019-20</t>
  </si>
  <si>
    <t>ESDP</t>
  </si>
  <si>
    <t>DLCMC</t>
  </si>
  <si>
    <t>Reserve Bank of India</t>
  </si>
  <si>
    <t>Awareness on Naturopathy</t>
  </si>
  <si>
    <t>2020-21</t>
  </si>
  <si>
    <t>Documentary Video</t>
  </si>
  <si>
    <t>Banker Meeting</t>
  </si>
  <si>
    <t>NVBDCP</t>
  </si>
  <si>
    <t>BLBC Exposure Visit</t>
  </si>
  <si>
    <t>2021-22</t>
  </si>
  <si>
    <t>Jal Jeevan Mission</t>
  </si>
  <si>
    <t>Formation &amp; Promotion of FPO under CSS</t>
  </si>
  <si>
    <t>LEDP -Backyard Poultry</t>
  </si>
  <si>
    <t>MEDP on Mop Making</t>
  </si>
  <si>
    <t>Observation of National handloomday &amp; AKAM</t>
  </si>
  <si>
    <t>Bankers Sensitization Workshop</t>
  </si>
  <si>
    <t>EAP</t>
  </si>
  <si>
    <t>2022-23</t>
  </si>
  <si>
    <t>Ongoing</t>
  </si>
  <si>
    <t>LEDP on Goat Rearing</t>
  </si>
  <si>
    <t>MEDP on mushroom</t>
  </si>
  <si>
    <t>MEDP on Beekeeping</t>
  </si>
  <si>
    <t>MEDP on masonry</t>
  </si>
  <si>
    <t>MEDP on backyard poultry</t>
  </si>
  <si>
    <t>Beekeeping training to begniers</t>
  </si>
  <si>
    <t>ESDP on Mop making</t>
  </si>
  <si>
    <t>MSMEDFO, Ministry of MSME, Govt. of India</t>
  </si>
  <si>
    <t>ESDP on Sanitary pad making</t>
  </si>
  <si>
    <t>ESDP on Beauty care</t>
  </si>
  <si>
    <t>LEDP on Tailoring</t>
  </si>
  <si>
    <t>LEDP on Bamboo craft</t>
  </si>
  <si>
    <t>2023-24</t>
  </si>
  <si>
    <t xml:space="preserve">ESDP-Millet </t>
  </si>
  <si>
    <t>ESDP-Solar</t>
  </si>
  <si>
    <t>MEDP-Beekeeping</t>
  </si>
  <si>
    <t>MEDP-Backyard Poultry</t>
  </si>
  <si>
    <t>Training of field level NGO workers</t>
  </si>
  <si>
    <t>LEDP-Clay &amp; Ceramic Pottery</t>
  </si>
  <si>
    <t>MDA</t>
  </si>
  <si>
    <t>Health &amp; Family Welfare Dept, Govt. of Odisha</t>
  </si>
  <si>
    <t>2024-25</t>
  </si>
  <si>
    <t>Gramodyoga Vikash Yojna</t>
  </si>
  <si>
    <t>ESDP-Food Processing</t>
  </si>
  <si>
    <t>OFPO-Bamboo Craft</t>
  </si>
  <si>
    <t>Continue</t>
  </si>
  <si>
    <t>MDP-Financial Accounting</t>
  </si>
  <si>
    <t>PM-Viswakarma</t>
  </si>
  <si>
    <t>Edu Jobs Pvt Ltd</t>
  </si>
  <si>
    <t>2025-26</t>
  </si>
  <si>
    <t>Vocational Training</t>
  </si>
  <si>
    <t>L &amp; K Services Pvt Ltd (CSR)</t>
  </si>
  <si>
    <t>Swabalamban</t>
  </si>
  <si>
    <t>MBK Training</t>
  </si>
  <si>
    <t>IT Literacy (OS-CIT)</t>
  </si>
  <si>
    <t>Eshakti</t>
  </si>
  <si>
    <t>Jaga Mission</t>
  </si>
  <si>
    <t>FPO</t>
  </si>
  <si>
    <t>OFPO</t>
  </si>
  <si>
    <t>SGSY-Special Project</t>
  </si>
  <si>
    <t>Total</t>
  </si>
  <si>
    <t>Program</t>
  </si>
  <si>
    <t>No of Stories</t>
  </si>
  <si>
    <t>Purpose of Donation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</si>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</sst>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/>
    <xf numFmtId="0" fontId="0" fillId="2" borderId="1" xfId="0" applyFill="1" applyBorder="1" applyAlignment="1">
      <alignment horizontal="left"/>
    </xf>
    <xf numFmtId="0" fontId="0" fillId="0" borderId="0" xfId="0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left" vertic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/>
    <xf numFmtId="0" fontId="1" fillId="0" borderId="0" xfId="0" applyFont="1" applyAlignment="1"/>
    <xf numFmtId="0" fontId="0" fillId="0" borderId="1" xfId="0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7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workbookViewId="0">
      <selection activeCell="I13" sqref="I13"/>
    </sheetView>
  </sheetViews>
  <sheetFormatPr defaultRowHeight="15" x14ac:dyDescent="0.25"/>
  <cols>
    <col min="2" max="2" width="5.42578125" customWidth="1"/>
    <col min="3" max="3" width="32" customWidth="1"/>
    <col min="4" max="4" width="21.5703125" bestFit="1" customWidth="1"/>
    <col min="5" max="5" width="21.5703125" customWidth="1"/>
  </cols>
  <sheetData>
    <row r="2" spans="2:5" x14ac:dyDescent="0.25">
      <c r="B2" s="44" t="s">
        <v>40</v>
      </c>
      <c r="C2" s="44"/>
      <c r="D2" s="44"/>
      <c r="E2" s="44"/>
    </row>
    <row r="3" spans="2:5" x14ac:dyDescent="0.25">
      <c r="B3" s="23" t="s">
        <v>36</v>
      </c>
      <c r="C3" s="23" t="s">
        <v>37</v>
      </c>
      <c r="D3" s="23" t="s">
        <v>38</v>
      </c>
      <c r="E3" s="23" t="s">
        <v>39</v>
      </c>
    </row>
    <row r="4" spans="2:5" x14ac:dyDescent="0.25">
      <c r="B4" s="22">
        <v>1</v>
      </c>
      <c r="C4" s="3" t="s">
        <v>24</v>
      </c>
      <c r="D4" s="3" t="s">
        <v>25</v>
      </c>
      <c r="E4" s="3" t="s">
        <v>63</v>
      </c>
    </row>
    <row r="5" spans="2:5" x14ac:dyDescent="0.25">
      <c r="B5" s="22">
        <v>2</v>
      </c>
      <c r="C5" s="3" t="s">
        <v>26</v>
      </c>
      <c r="D5" s="3" t="s">
        <v>32</v>
      </c>
      <c r="E5" s="3" t="s">
        <v>64</v>
      </c>
    </row>
    <row r="6" spans="2:5" ht="30" x14ac:dyDescent="0.25">
      <c r="B6" s="22">
        <v>3</v>
      </c>
      <c r="C6" s="3" t="s">
        <v>28</v>
      </c>
      <c r="D6" s="3" t="s">
        <v>33</v>
      </c>
      <c r="E6" s="27" t="s">
        <v>65</v>
      </c>
    </row>
    <row r="7" spans="2:5" x14ac:dyDescent="0.25">
      <c r="B7" s="22">
        <v>4</v>
      </c>
      <c r="C7" s="3" t="s">
        <v>27</v>
      </c>
      <c r="D7" s="3" t="s">
        <v>34</v>
      </c>
      <c r="E7" s="3" t="s">
        <v>66</v>
      </c>
    </row>
    <row r="8" spans="2:5" x14ac:dyDescent="0.25">
      <c r="B8" s="22">
        <v>5</v>
      </c>
      <c r="C8" s="3" t="s">
        <v>29</v>
      </c>
      <c r="D8" s="3" t="s">
        <v>35</v>
      </c>
      <c r="E8" s="3" t="s">
        <v>41</v>
      </c>
    </row>
    <row r="9" spans="2:5" x14ac:dyDescent="0.25">
      <c r="B9" s="22">
        <v>6</v>
      </c>
      <c r="C9" s="3" t="s">
        <v>30</v>
      </c>
      <c r="D9" s="3" t="s">
        <v>35</v>
      </c>
      <c r="E9" s="3" t="s">
        <v>67</v>
      </c>
    </row>
    <row r="10" spans="2:5" x14ac:dyDescent="0.25">
      <c r="B10" s="22">
        <v>7</v>
      </c>
      <c r="C10" s="3" t="s">
        <v>31</v>
      </c>
      <c r="D10" s="3" t="s">
        <v>35</v>
      </c>
      <c r="E10" s="3" t="s">
        <v>68</v>
      </c>
    </row>
    <row r="14" spans="2:5" x14ac:dyDescent="0.25">
      <c r="B14" s="30"/>
      <c r="C14" s="30"/>
      <c r="D14" s="30"/>
      <c r="E14" s="30"/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D5" sqref="D5"/>
    </sheetView>
  </sheetViews>
  <sheetFormatPr defaultRowHeight="15" x14ac:dyDescent="0.25"/>
  <cols>
    <col min="1" max="1" width="5.42578125" customWidth="1"/>
    <col min="2" max="2" width="42.7109375" style="2" customWidth="1"/>
  </cols>
  <sheetData>
    <row r="3" spans="1:2" x14ac:dyDescent="0.25">
      <c r="A3" s="26" t="s">
        <v>36</v>
      </c>
      <c r="B3" s="24" t="s">
        <v>42</v>
      </c>
    </row>
    <row r="4" spans="1:2" ht="30" x14ac:dyDescent="0.25">
      <c r="A4" s="22">
        <v>1</v>
      </c>
      <c r="B4" s="25" t="s">
        <v>43</v>
      </c>
    </row>
    <row r="5" spans="1:2" ht="30" x14ac:dyDescent="0.25">
      <c r="A5" s="22">
        <v>2</v>
      </c>
      <c r="B5" s="25" t="s">
        <v>44</v>
      </c>
    </row>
    <row r="6" spans="1:2" x14ac:dyDescent="0.25">
      <c r="A6" s="22">
        <v>3</v>
      </c>
      <c r="B6" s="25" t="s">
        <v>45</v>
      </c>
    </row>
    <row r="7" spans="1:2" x14ac:dyDescent="0.25">
      <c r="A7" s="22">
        <v>4</v>
      </c>
      <c r="B7" s="25" t="s">
        <v>46</v>
      </c>
    </row>
    <row r="8" spans="1:2" x14ac:dyDescent="0.25">
      <c r="A8" s="22">
        <v>5</v>
      </c>
      <c r="B8" s="25" t="s">
        <v>47</v>
      </c>
    </row>
    <row r="9" spans="1:2" x14ac:dyDescent="0.25">
      <c r="A9" s="22">
        <v>6</v>
      </c>
      <c r="B9" s="25" t="s">
        <v>48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9"/>
  <sheetViews>
    <sheetView workbookViewId="0">
      <selection activeCell="H11" sqref="H11"/>
    </sheetView>
  </sheetViews>
  <sheetFormatPr defaultRowHeight="15" x14ac:dyDescent="0.25"/>
  <cols>
    <col min="2" max="2" width="29" bestFit="1" customWidth="1"/>
    <col min="3" max="3" width="19.5703125" customWidth="1"/>
  </cols>
  <sheetData>
    <row r="4" spans="2:3" x14ac:dyDescent="0.25">
      <c r="B4" t="s">
        <v>49</v>
      </c>
      <c r="C4" t="s">
        <v>69</v>
      </c>
    </row>
    <row r="5" spans="2:3" x14ac:dyDescent="0.25">
      <c r="B5" t="s">
        <v>50</v>
      </c>
      <c r="C5" t="s">
        <v>69</v>
      </c>
    </row>
    <row r="6" spans="2:3" x14ac:dyDescent="0.25">
      <c r="B6" t="s">
        <v>51</v>
      </c>
      <c r="C6" t="s">
        <v>69</v>
      </c>
    </row>
    <row r="7" spans="2:3" x14ac:dyDescent="0.25">
      <c r="B7" t="s">
        <v>52</v>
      </c>
      <c r="C7" t="s">
        <v>69</v>
      </c>
    </row>
    <row r="8" spans="2:3" x14ac:dyDescent="0.25">
      <c r="B8" t="s">
        <v>53</v>
      </c>
      <c r="C8" t="s">
        <v>69</v>
      </c>
    </row>
    <row r="9" spans="2:3" x14ac:dyDescent="0.25">
      <c r="B9" t="s">
        <v>54</v>
      </c>
      <c r="C9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30"/>
  <sheetViews>
    <sheetView topLeftCell="A16" workbookViewId="0">
      <selection activeCell="L14" sqref="L14"/>
    </sheetView>
  </sheetViews>
  <sheetFormatPr defaultRowHeight="15" x14ac:dyDescent="0.25"/>
  <cols>
    <col min="3" max="3" width="28.42578125" customWidth="1"/>
    <col min="4" max="4" width="12.42578125" style="1" bestFit="1" customWidth="1"/>
  </cols>
  <sheetData>
    <row r="3" spans="3:5" x14ac:dyDescent="0.25">
      <c r="C3" t="s">
        <v>55</v>
      </c>
    </row>
    <row r="4" spans="3:5" x14ac:dyDescent="0.25">
      <c r="C4" s="41" t="s">
        <v>254</v>
      </c>
      <c r="D4" s="41" t="s">
        <v>255</v>
      </c>
      <c r="E4" s="3"/>
    </row>
    <row r="5" spans="3:5" x14ac:dyDescent="0.25">
      <c r="C5" s="3" t="s">
        <v>70</v>
      </c>
      <c r="D5" s="22">
        <v>2</v>
      </c>
      <c r="E5" s="3"/>
    </row>
    <row r="6" spans="3:5" x14ac:dyDescent="0.25">
      <c r="C6" s="3" t="s">
        <v>71</v>
      </c>
      <c r="D6" s="22">
        <v>2</v>
      </c>
      <c r="E6" s="3" t="s">
        <v>257</v>
      </c>
    </row>
    <row r="7" spans="3:5" x14ac:dyDescent="0.25">
      <c r="C7" s="3" t="s">
        <v>72</v>
      </c>
      <c r="D7" s="22">
        <v>2</v>
      </c>
      <c r="E7" s="3"/>
    </row>
    <row r="8" spans="3:5" x14ac:dyDescent="0.25">
      <c r="C8" s="3" t="s">
        <v>73</v>
      </c>
      <c r="D8" s="22">
        <v>1</v>
      </c>
      <c r="E8" s="3" t="s">
        <v>257</v>
      </c>
    </row>
    <row r="9" spans="3:5" x14ac:dyDescent="0.25">
      <c r="C9" s="3" t="s">
        <v>74</v>
      </c>
      <c r="D9" s="22">
        <v>2</v>
      </c>
      <c r="E9" s="3" t="s">
        <v>257</v>
      </c>
    </row>
    <row r="10" spans="3:5" x14ac:dyDescent="0.25">
      <c r="C10" s="3" t="s">
        <v>75</v>
      </c>
      <c r="D10" s="22">
        <v>1</v>
      </c>
      <c r="E10" s="3" t="s">
        <v>257</v>
      </c>
    </row>
    <row r="11" spans="3:5" x14ac:dyDescent="0.25">
      <c r="C11" s="3" t="s">
        <v>76</v>
      </c>
      <c r="D11" s="22">
        <v>1</v>
      </c>
      <c r="E11" s="3"/>
    </row>
    <row r="12" spans="3:5" x14ac:dyDescent="0.25">
      <c r="C12" s="3" t="s">
        <v>77</v>
      </c>
      <c r="D12" s="22">
        <v>1</v>
      </c>
      <c r="E12" s="3"/>
    </row>
    <row r="13" spans="3:5" x14ac:dyDescent="0.25">
      <c r="C13" s="3" t="s">
        <v>78</v>
      </c>
      <c r="D13" s="22">
        <v>1</v>
      </c>
      <c r="E13" s="3"/>
    </row>
    <row r="14" spans="3:5" x14ac:dyDescent="0.25">
      <c r="C14" s="3" t="s">
        <v>79</v>
      </c>
      <c r="D14" s="22">
        <v>1</v>
      </c>
      <c r="E14" s="3"/>
    </row>
    <row r="15" spans="3:5" x14ac:dyDescent="0.25">
      <c r="C15" s="3" t="s">
        <v>80</v>
      </c>
      <c r="D15" s="22">
        <v>1</v>
      </c>
      <c r="E15" s="3"/>
    </row>
    <row r="16" spans="3:5" x14ac:dyDescent="0.25">
      <c r="C16" s="3" t="s">
        <v>180</v>
      </c>
      <c r="D16" s="22">
        <v>10</v>
      </c>
      <c r="E16" s="3"/>
    </row>
    <row r="17" spans="3:5" x14ac:dyDescent="0.25">
      <c r="C17" s="3" t="s">
        <v>232</v>
      </c>
      <c r="D17" s="22">
        <v>1</v>
      </c>
      <c r="E17" s="3"/>
    </row>
    <row r="18" spans="3:5" x14ac:dyDescent="0.25">
      <c r="C18" s="3" t="s">
        <v>248</v>
      </c>
      <c r="D18" s="22">
        <v>1</v>
      </c>
      <c r="E18" s="3"/>
    </row>
    <row r="19" spans="3:5" x14ac:dyDescent="0.25">
      <c r="C19" s="3" t="s">
        <v>182</v>
      </c>
      <c r="D19" s="22">
        <v>2</v>
      </c>
      <c r="E19" s="3" t="s">
        <v>257</v>
      </c>
    </row>
    <row r="20" spans="3:5" x14ac:dyDescent="0.25">
      <c r="C20" s="3" t="s">
        <v>249</v>
      </c>
      <c r="D20" s="22">
        <v>2</v>
      </c>
      <c r="E20" s="3"/>
    </row>
    <row r="21" spans="3:5" x14ac:dyDescent="0.25">
      <c r="C21" s="3" t="s">
        <v>250</v>
      </c>
      <c r="D21" s="22">
        <v>4</v>
      </c>
      <c r="E21" s="3"/>
    </row>
    <row r="22" spans="3:5" x14ac:dyDescent="0.25">
      <c r="C22" s="3" t="s">
        <v>251</v>
      </c>
      <c r="D22" s="22">
        <v>2</v>
      </c>
      <c r="E22" s="3"/>
    </row>
    <row r="23" spans="3:5" x14ac:dyDescent="0.25">
      <c r="C23" s="3" t="s">
        <v>235</v>
      </c>
      <c r="D23" s="22">
        <v>3</v>
      </c>
      <c r="E23" s="3"/>
    </row>
    <row r="24" spans="3:5" x14ac:dyDescent="0.25">
      <c r="C24" s="3" t="s">
        <v>240</v>
      </c>
      <c r="D24" s="22">
        <v>2</v>
      </c>
      <c r="E24" s="3"/>
    </row>
    <row r="25" spans="3:5" x14ac:dyDescent="0.25">
      <c r="C25" s="3" t="s">
        <v>243</v>
      </c>
      <c r="D25" s="22">
        <v>1</v>
      </c>
      <c r="E25" s="3"/>
    </row>
    <row r="26" spans="3:5" x14ac:dyDescent="0.25">
      <c r="C26" s="3" t="s">
        <v>245</v>
      </c>
      <c r="D26" s="22">
        <v>1</v>
      </c>
      <c r="E26" s="3"/>
    </row>
    <row r="27" spans="3:5" x14ac:dyDescent="0.25">
      <c r="C27" s="3" t="s">
        <v>191</v>
      </c>
      <c r="D27" s="22">
        <v>2</v>
      </c>
      <c r="E27" s="3"/>
    </row>
    <row r="28" spans="3:5" x14ac:dyDescent="0.25">
      <c r="C28" s="3" t="s">
        <v>252</v>
      </c>
      <c r="D28" s="22">
        <v>2</v>
      </c>
      <c r="E28" s="3"/>
    </row>
    <row r="29" spans="3:5" x14ac:dyDescent="0.25">
      <c r="C29" s="3" t="s">
        <v>172</v>
      </c>
      <c r="D29" s="22">
        <v>2</v>
      </c>
      <c r="E29" s="3"/>
    </row>
    <row r="30" spans="3:5" x14ac:dyDescent="0.25">
      <c r="C30" s="21" t="s">
        <v>253</v>
      </c>
      <c r="D30" s="41">
        <f>SUM(D5:D29)</f>
        <v>50</v>
      </c>
      <c r="E30" s="3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2"/>
  <sheetViews>
    <sheetView workbookViewId="0">
      <selection activeCell="G16" sqref="G16"/>
    </sheetView>
  </sheetViews>
  <sheetFormatPr defaultRowHeight="15" x14ac:dyDescent="0.25"/>
  <cols>
    <col min="2" max="2" width="3.42578125" bestFit="1" customWidth="1"/>
    <col min="3" max="3" width="47.28515625" bestFit="1" customWidth="1"/>
  </cols>
  <sheetData>
    <row r="2" spans="2:3" x14ac:dyDescent="0.25">
      <c r="B2" s="45" t="s">
        <v>81</v>
      </c>
      <c r="C2" s="45"/>
    </row>
    <row r="4" spans="2:3" x14ac:dyDescent="0.25">
      <c r="B4" s="23" t="s">
        <v>36</v>
      </c>
      <c r="C4" s="23" t="s">
        <v>82</v>
      </c>
    </row>
    <row r="5" spans="2:3" x14ac:dyDescent="0.25">
      <c r="B5" s="26">
        <v>1</v>
      </c>
      <c r="C5" s="27" t="s">
        <v>83</v>
      </c>
    </row>
    <row r="6" spans="2:3" x14ac:dyDescent="0.25">
      <c r="B6" s="26">
        <v>2</v>
      </c>
      <c r="C6" s="31" t="s">
        <v>84</v>
      </c>
    </row>
    <row r="7" spans="2:3" x14ac:dyDescent="0.25">
      <c r="B7" s="26">
        <v>3</v>
      </c>
      <c r="C7" s="27" t="s">
        <v>85</v>
      </c>
    </row>
    <row r="8" spans="2:3" x14ac:dyDescent="0.25">
      <c r="B8" s="26">
        <v>4</v>
      </c>
      <c r="C8" s="32" t="s">
        <v>86</v>
      </c>
    </row>
    <row r="9" spans="2:3" x14ac:dyDescent="0.25">
      <c r="B9" s="26">
        <v>5</v>
      </c>
      <c r="C9" s="27" t="s">
        <v>87</v>
      </c>
    </row>
    <row r="10" spans="2:3" x14ac:dyDescent="0.25">
      <c r="B10" s="26">
        <v>6</v>
      </c>
      <c r="C10" s="27" t="s">
        <v>88</v>
      </c>
    </row>
    <row r="11" spans="2:3" x14ac:dyDescent="0.25">
      <c r="B11" s="26">
        <v>7</v>
      </c>
      <c r="C11" s="27" t="s">
        <v>89</v>
      </c>
    </row>
    <row r="12" spans="2:3" x14ac:dyDescent="0.25">
      <c r="B12" s="26">
        <v>8</v>
      </c>
      <c r="C12" s="27" t="s">
        <v>90</v>
      </c>
    </row>
    <row r="13" spans="2:3" x14ac:dyDescent="0.25">
      <c r="B13" s="26">
        <v>9</v>
      </c>
      <c r="C13" s="27" t="s">
        <v>91</v>
      </c>
    </row>
    <row r="14" spans="2:3" x14ac:dyDescent="0.25">
      <c r="B14" s="26">
        <v>10</v>
      </c>
      <c r="C14" s="27" t="s">
        <v>92</v>
      </c>
    </row>
    <row r="15" spans="2:3" x14ac:dyDescent="0.25">
      <c r="B15" s="26">
        <v>11</v>
      </c>
      <c r="C15" s="27" t="s">
        <v>93</v>
      </c>
    </row>
    <row r="16" spans="2:3" x14ac:dyDescent="0.25">
      <c r="B16" s="26">
        <v>12</v>
      </c>
      <c r="C16" s="27" t="s">
        <v>94</v>
      </c>
    </row>
    <row r="17" spans="2:3" x14ac:dyDescent="0.25">
      <c r="B17" s="26">
        <v>13</v>
      </c>
      <c r="C17" s="27" t="s">
        <v>95</v>
      </c>
    </row>
    <row r="18" spans="2:3" x14ac:dyDescent="0.25">
      <c r="B18" s="26">
        <v>14</v>
      </c>
      <c r="C18" s="27" t="s">
        <v>96</v>
      </c>
    </row>
    <row r="19" spans="2:3" x14ac:dyDescent="0.25">
      <c r="B19" s="26">
        <v>15</v>
      </c>
      <c r="C19" s="27" t="s">
        <v>97</v>
      </c>
    </row>
    <row r="20" spans="2:3" x14ac:dyDescent="0.25">
      <c r="B20" s="26">
        <v>16</v>
      </c>
      <c r="C20" s="27" t="s">
        <v>98</v>
      </c>
    </row>
    <row r="21" spans="2:3" x14ac:dyDescent="0.25">
      <c r="B21" s="26">
        <v>17</v>
      </c>
      <c r="C21" s="27" t="s">
        <v>99</v>
      </c>
    </row>
    <row r="22" spans="2:3" x14ac:dyDescent="0.25">
      <c r="B22" s="26">
        <v>18</v>
      </c>
      <c r="C22" s="27" t="s">
        <v>100</v>
      </c>
    </row>
    <row r="23" spans="2:3" x14ac:dyDescent="0.25">
      <c r="B23" s="26">
        <v>19</v>
      </c>
      <c r="C23" s="27" t="s">
        <v>101</v>
      </c>
    </row>
    <row r="24" spans="2:3" x14ac:dyDescent="0.25">
      <c r="B24" s="26">
        <v>20</v>
      </c>
      <c r="C24" s="27" t="s">
        <v>102</v>
      </c>
    </row>
    <row r="25" spans="2:3" x14ac:dyDescent="0.25">
      <c r="B25" s="26">
        <v>21</v>
      </c>
      <c r="C25" s="27" t="s">
        <v>103</v>
      </c>
    </row>
    <row r="26" spans="2:3" x14ac:dyDescent="0.25">
      <c r="B26" s="26">
        <v>22</v>
      </c>
      <c r="C26" s="27" t="s">
        <v>104</v>
      </c>
    </row>
    <row r="27" spans="2:3" x14ac:dyDescent="0.25">
      <c r="B27" s="26">
        <v>23</v>
      </c>
      <c r="C27" s="31" t="s">
        <v>105</v>
      </c>
    </row>
    <row r="28" spans="2:3" x14ac:dyDescent="0.25">
      <c r="B28" s="26">
        <v>24</v>
      </c>
      <c r="C28" s="27" t="s">
        <v>106</v>
      </c>
    </row>
    <row r="29" spans="2:3" x14ac:dyDescent="0.25">
      <c r="B29" s="26">
        <v>25</v>
      </c>
      <c r="C29" s="27" t="s">
        <v>107</v>
      </c>
    </row>
    <row r="30" spans="2:3" x14ac:dyDescent="0.25">
      <c r="B30" s="26">
        <v>26</v>
      </c>
      <c r="C30" s="27" t="s">
        <v>108</v>
      </c>
    </row>
    <row r="31" spans="2:3" x14ac:dyDescent="0.25">
      <c r="B31" s="26">
        <v>27</v>
      </c>
      <c r="C31" s="27" t="s">
        <v>109</v>
      </c>
    </row>
    <row r="32" spans="2:3" x14ac:dyDescent="0.25">
      <c r="B32" s="26">
        <v>28</v>
      </c>
      <c r="C32" s="27" t="s">
        <v>110</v>
      </c>
    </row>
    <row r="33" spans="2:3" x14ac:dyDescent="0.25">
      <c r="B33" s="26">
        <v>29</v>
      </c>
      <c r="C33" s="27" t="s">
        <v>111</v>
      </c>
    </row>
    <row r="34" spans="2:3" x14ac:dyDescent="0.25">
      <c r="B34" s="26">
        <v>30</v>
      </c>
      <c r="C34" s="27" t="s">
        <v>112</v>
      </c>
    </row>
    <row r="35" spans="2:3" x14ac:dyDescent="0.25">
      <c r="B35" s="26">
        <v>31</v>
      </c>
      <c r="C35" s="27" t="s">
        <v>113</v>
      </c>
    </row>
    <row r="36" spans="2:3" x14ac:dyDescent="0.25">
      <c r="B36" s="26">
        <v>32</v>
      </c>
      <c r="C36" s="27" t="s">
        <v>114</v>
      </c>
    </row>
    <row r="37" spans="2:3" x14ac:dyDescent="0.25">
      <c r="B37" s="26">
        <v>33</v>
      </c>
      <c r="C37" s="27" t="s">
        <v>115</v>
      </c>
    </row>
    <row r="38" spans="2:3" x14ac:dyDescent="0.25">
      <c r="B38" s="26">
        <v>34</v>
      </c>
      <c r="C38" s="27" t="s">
        <v>116</v>
      </c>
    </row>
    <row r="39" spans="2:3" x14ac:dyDescent="0.25">
      <c r="B39" s="26">
        <v>35</v>
      </c>
      <c r="C39" s="27" t="s">
        <v>117</v>
      </c>
    </row>
    <row r="40" spans="2:3" x14ac:dyDescent="0.25">
      <c r="B40" s="33">
        <v>36</v>
      </c>
      <c r="C40" s="31" t="s">
        <v>118</v>
      </c>
    </row>
    <row r="41" spans="2:3" x14ac:dyDescent="0.25">
      <c r="B41" s="26">
        <v>37</v>
      </c>
      <c r="C41" s="31" t="s">
        <v>119</v>
      </c>
    </row>
    <row r="42" spans="2:3" x14ac:dyDescent="0.25">
      <c r="B42" s="26">
        <v>38</v>
      </c>
      <c r="C42" s="31" t="s">
        <v>120</v>
      </c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47"/>
  <sheetViews>
    <sheetView topLeftCell="A112" workbookViewId="0">
      <selection activeCell="I115" sqref="I115"/>
    </sheetView>
  </sheetViews>
  <sheetFormatPr defaultRowHeight="15" x14ac:dyDescent="0.25"/>
  <cols>
    <col min="2" max="2" width="4" style="1" bestFit="1" customWidth="1"/>
    <col min="3" max="3" width="9.140625" customWidth="1"/>
    <col min="4" max="4" width="27.42578125" customWidth="1"/>
    <col min="5" max="5" width="43" bestFit="1" customWidth="1"/>
    <col min="6" max="6" width="16" customWidth="1"/>
  </cols>
  <sheetData>
    <row r="3" spans="2:6" ht="54.75" customHeight="1" x14ac:dyDescent="0.25">
      <c r="B3" s="46" t="s">
        <v>121</v>
      </c>
      <c r="C3" s="46"/>
      <c r="D3" s="46"/>
      <c r="E3" s="46"/>
      <c r="F3" s="46"/>
    </row>
    <row r="4" spans="2:6" x14ac:dyDescent="0.25">
      <c r="D4" s="2"/>
      <c r="E4" s="2"/>
    </row>
    <row r="5" spans="2:6" x14ac:dyDescent="0.25">
      <c r="B5" s="23" t="s">
        <v>36</v>
      </c>
      <c r="C5" s="23" t="s">
        <v>122</v>
      </c>
      <c r="D5" s="34" t="s">
        <v>123</v>
      </c>
      <c r="E5" s="34" t="s">
        <v>124</v>
      </c>
      <c r="F5" s="23" t="s">
        <v>125</v>
      </c>
    </row>
    <row r="6" spans="2:6" x14ac:dyDescent="0.25">
      <c r="B6" s="26">
        <v>1</v>
      </c>
      <c r="C6" s="35" t="s">
        <v>126</v>
      </c>
      <c r="D6" s="36" t="s">
        <v>127</v>
      </c>
      <c r="E6" s="36" t="s">
        <v>85</v>
      </c>
      <c r="F6" s="35" t="s">
        <v>128</v>
      </c>
    </row>
    <row r="7" spans="2:6" ht="30" x14ac:dyDescent="0.25">
      <c r="B7" s="26">
        <v>2</v>
      </c>
      <c r="C7" s="35" t="s">
        <v>126</v>
      </c>
      <c r="D7" s="36" t="s">
        <v>129</v>
      </c>
      <c r="E7" s="36" t="s">
        <v>101</v>
      </c>
      <c r="F7" s="35" t="s">
        <v>128</v>
      </c>
    </row>
    <row r="8" spans="2:6" x14ac:dyDescent="0.25">
      <c r="B8" s="26">
        <v>3</v>
      </c>
      <c r="C8" s="35" t="s">
        <v>126</v>
      </c>
      <c r="D8" s="36" t="s">
        <v>130</v>
      </c>
      <c r="E8" s="36" t="s">
        <v>114</v>
      </c>
      <c r="F8" s="35" t="s">
        <v>128</v>
      </c>
    </row>
    <row r="9" spans="2:6" x14ac:dyDescent="0.25">
      <c r="B9" s="26">
        <v>4</v>
      </c>
      <c r="C9" s="35" t="s">
        <v>131</v>
      </c>
      <c r="D9" s="36" t="s">
        <v>132</v>
      </c>
      <c r="E9" s="36" t="s">
        <v>85</v>
      </c>
      <c r="F9" s="35" t="s">
        <v>128</v>
      </c>
    </row>
    <row r="10" spans="2:6" ht="30" x14ac:dyDescent="0.25">
      <c r="B10" s="26">
        <v>5</v>
      </c>
      <c r="C10" s="35" t="s">
        <v>131</v>
      </c>
      <c r="D10" s="36" t="s">
        <v>133</v>
      </c>
      <c r="E10" s="36" t="s">
        <v>107</v>
      </c>
      <c r="F10" s="35" t="s">
        <v>128</v>
      </c>
    </row>
    <row r="11" spans="2:6" ht="30" x14ac:dyDescent="0.25">
      <c r="B11" s="26">
        <v>6</v>
      </c>
      <c r="C11" s="35" t="s">
        <v>131</v>
      </c>
      <c r="D11" s="36" t="s">
        <v>129</v>
      </c>
      <c r="E11" s="36" t="s">
        <v>101</v>
      </c>
      <c r="F11" s="35" t="s">
        <v>128</v>
      </c>
    </row>
    <row r="12" spans="2:6" ht="30" x14ac:dyDescent="0.25">
      <c r="B12" s="26">
        <v>7</v>
      </c>
      <c r="C12" s="35" t="s">
        <v>131</v>
      </c>
      <c r="D12" s="36" t="s">
        <v>134</v>
      </c>
      <c r="E12" s="36" t="s">
        <v>102</v>
      </c>
      <c r="F12" s="35" t="s">
        <v>128</v>
      </c>
    </row>
    <row r="13" spans="2:6" ht="30" x14ac:dyDescent="0.25">
      <c r="B13" s="26">
        <v>8</v>
      </c>
      <c r="C13" s="35" t="s">
        <v>131</v>
      </c>
      <c r="D13" s="36" t="s">
        <v>135</v>
      </c>
      <c r="E13" s="36" t="s">
        <v>136</v>
      </c>
      <c r="F13" s="35" t="s">
        <v>128</v>
      </c>
    </row>
    <row r="14" spans="2:6" ht="30" x14ac:dyDescent="0.25">
      <c r="B14" s="26">
        <v>9</v>
      </c>
      <c r="C14" s="35" t="s">
        <v>131</v>
      </c>
      <c r="D14" s="36" t="s">
        <v>137</v>
      </c>
      <c r="E14" s="36" t="s">
        <v>89</v>
      </c>
      <c r="F14" s="35" t="s">
        <v>128</v>
      </c>
    </row>
    <row r="15" spans="2:6" ht="30" x14ac:dyDescent="0.25">
      <c r="B15" s="26">
        <v>10</v>
      </c>
      <c r="C15" s="35" t="s">
        <v>138</v>
      </c>
      <c r="D15" s="36" t="s">
        <v>129</v>
      </c>
      <c r="E15" s="36" t="s">
        <v>101</v>
      </c>
      <c r="F15" s="35" t="s">
        <v>128</v>
      </c>
    </row>
    <row r="16" spans="2:6" ht="30" x14ac:dyDescent="0.25">
      <c r="B16" s="26">
        <v>11</v>
      </c>
      <c r="C16" s="35" t="s">
        <v>138</v>
      </c>
      <c r="D16" s="36" t="s">
        <v>139</v>
      </c>
      <c r="E16" s="36" t="s">
        <v>103</v>
      </c>
      <c r="F16" s="35" t="s">
        <v>128</v>
      </c>
    </row>
    <row r="17" spans="2:6" ht="30" x14ac:dyDescent="0.25">
      <c r="B17" s="26">
        <v>12</v>
      </c>
      <c r="C17" s="35" t="s">
        <v>138</v>
      </c>
      <c r="D17" s="36" t="s">
        <v>133</v>
      </c>
      <c r="E17" s="36" t="s">
        <v>107</v>
      </c>
      <c r="F17" s="35" t="s">
        <v>128</v>
      </c>
    </row>
    <row r="18" spans="2:6" ht="30" x14ac:dyDescent="0.25">
      <c r="B18" s="26">
        <v>13</v>
      </c>
      <c r="C18" s="35" t="s">
        <v>138</v>
      </c>
      <c r="D18" s="36" t="s">
        <v>140</v>
      </c>
      <c r="E18" s="36" t="s">
        <v>108</v>
      </c>
      <c r="F18" s="35" t="s">
        <v>128</v>
      </c>
    </row>
    <row r="19" spans="2:6" x14ac:dyDescent="0.25">
      <c r="B19" s="26">
        <v>14</v>
      </c>
      <c r="C19" s="35" t="s">
        <v>138</v>
      </c>
      <c r="D19" s="36" t="s">
        <v>127</v>
      </c>
      <c r="E19" s="36" t="s">
        <v>85</v>
      </c>
      <c r="F19" s="35" t="s">
        <v>128</v>
      </c>
    </row>
    <row r="20" spans="2:6" ht="30" x14ac:dyDescent="0.25">
      <c r="B20" s="26">
        <v>15</v>
      </c>
      <c r="C20" s="35" t="s">
        <v>138</v>
      </c>
      <c r="D20" s="36" t="s">
        <v>134</v>
      </c>
      <c r="E20" s="36" t="s">
        <v>102</v>
      </c>
      <c r="F20" s="35" t="s">
        <v>128</v>
      </c>
    </row>
    <row r="21" spans="2:6" ht="30" x14ac:dyDescent="0.25">
      <c r="B21" s="26">
        <v>16</v>
      </c>
      <c r="C21" s="35" t="s">
        <v>138</v>
      </c>
      <c r="D21" s="36" t="s">
        <v>141</v>
      </c>
      <c r="E21" s="36" t="s">
        <v>98</v>
      </c>
      <c r="F21" s="35" t="s">
        <v>128</v>
      </c>
    </row>
    <row r="22" spans="2:6" ht="30" x14ac:dyDescent="0.25">
      <c r="B22" s="26">
        <v>17</v>
      </c>
      <c r="C22" s="35" t="s">
        <v>142</v>
      </c>
      <c r="D22" s="36" t="s">
        <v>143</v>
      </c>
      <c r="E22" s="36" t="s">
        <v>108</v>
      </c>
      <c r="F22" s="35" t="s">
        <v>128</v>
      </c>
    </row>
    <row r="23" spans="2:6" ht="30" x14ac:dyDescent="0.25">
      <c r="B23" s="26">
        <v>18</v>
      </c>
      <c r="C23" s="35" t="s">
        <v>142</v>
      </c>
      <c r="D23" s="36" t="s">
        <v>144</v>
      </c>
      <c r="E23" s="36" t="s">
        <v>87</v>
      </c>
      <c r="F23" s="35" t="s">
        <v>128</v>
      </c>
    </row>
    <row r="24" spans="2:6" ht="45" x14ac:dyDescent="0.25">
      <c r="B24" s="26">
        <v>19</v>
      </c>
      <c r="C24" s="35" t="s">
        <v>142</v>
      </c>
      <c r="D24" s="37" t="s">
        <v>145</v>
      </c>
      <c r="E24" s="36" t="s">
        <v>102</v>
      </c>
      <c r="F24" s="35" t="s">
        <v>128</v>
      </c>
    </row>
    <row r="25" spans="2:6" ht="30" x14ac:dyDescent="0.25">
      <c r="B25" s="26">
        <v>20</v>
      </c>
      <c r="C25" s="35" t="s">
        <v>142</v>
      </c>
      <c r="D25" s="36" t="s">
        <v>141</v>
      </c>
      <c r="E25" s="36" t="s">
        <v>98</v>
      </c>
      <c r="F25" s="35" t="s">
        <v>128</v>
      </c>
    </row>
    <row r="26" spans="2:6" ht="30" x14ac:dyDescent="0.25">
      <c r="B26" s="26">
        <v>21</v>
      </c>
      <c r="C26" s="35" t="s">
        <v>146</v>
      </c>
      <c r="D26" s="36" t="s">
        <v>133</v>
      </c>
      <c r="E26" s="36" t="s">
        <v>107</v>
      </c>
      <c r="F26" s="35" t="s">
        <v>128</v>
      </c>
    </row>
    <row r="27" spans="2:6" x14ac:dyDescent="0.25">
      <c r="B27" s="26">
        <v>22</v>
      </c>
      <c r="C27" s="35" t="s">
        <v>146</v>
      </c>
      <c r="D27" s="36" t="s">
        <v>147</v>
      </c>
      <c r="E27" s="36" t="s">
        <v>102</v>
      </c>
      <c r="F27" s="35" t="s">
        <v>128</v>
      </c>
    </row>
    <row r="28" spans="2:6" ht="45" x14ac:dyDescent="0.25">
      <c r="B28" s="26">
        <v>23</v>
      </c>
      <c r="C28" s="35" t="s">
        <v>146</v>
      </c>
      <c r="D28" s="37" t="s">
        <v>148</v>
      </c>
      <c r="E28" s="36" t="s">
        <v>102</v>
      </c>
      <c r="F28" s="35" t="s">
        <v>128</v>
      </c>
    </row>
    <row r="29" spans="2:6" ht="30" x14ac:dyDescent="0.25">
      <c r="B29" s="26">
        <v>24</v>
      </c>
      <c r="C29" s="35" t="s">
        <v>146</v>
      </c>
      <c r="D29" s="36" t="s">
        <v>149</v>
      </c>
      <c r="E29" s="36" t="s">
        <v>97</v>
      </c>
      <c r="F29" s="35" t="s">
        <v>128</v>
      </c>
    </row>
    <row r="30" spans="2:6" x14ac:dyDescent="0.25">
      <c r="B30" s="26">
        <v>25</v>
      </c>
      <c r="C30" s="35" t="s">
        <v>146</v>
      </c>
      <c r="D30" s="36" t="s">
        <v>132</v>
      </c>
      <c r="E30" s="36" t="s">
        <v>85</v>
      </c>
      <c r="F30" s="35" t="s">
        <v>128</v>
      </c>
    </row>
    <row r="31" spans="2:6" ht="45" x14ac:dyDescent="0.25">
      <c r="B31" s="26">
        <v>26</v>
      </c>
      <c r="C31" s="35" t="s">
        <v>150</v>
      </c>
      <c r="D31" s="36" t="s">
        <v>151</v>
      </c>
      <c r="E31" s="36" t="s">
        <v>102</v>
      </c>
      <c r="F31" s="35" t="s">
        <v>128</v>
      </c>
    </row>
    <row r="32" spans="2:6" x14ac:dyDescent="0.25">
      <c r="B32" s="26">
        <v>27</v>
      </c>
      <c r="C32" s="35" t="s">
        <v>152</v>
      </c>
      <c r="D32" s="36" t="s">
        <v>153</v>
      </c>
      <c r="E32" s="36" t="s">
        <v>102</v>
      </c>
      <c r="F32" s="35" t="s">
        <v>128</v>
      </c>
    </row>
    <row r="33" spans="2:6" x14ac:dyDescent="0.25">
      <c r="B33" s="26">
        <v>28</v>
      </c>
      <c r="C33" s="35" t="s">
        <v>152</v>
      </c>
      <c r="D33" s="36" t="s">
        <v>154</v>
      </c>
      <c r="E33" s="36" t="s">
        <v>102</v>
      </c>
      <c r="F33" s="35" t="s">
        <v>128</v>
      </c>
    </row>
    <row r="34" spans="2:6" ht="30" x14ac:dyDescent="0.25">
      <c r="B34" s="26">
        <v>29</v>
      </c>
      <c r="C34" s="35" t="s">
        <v>150</v>
      </c>
      <c r="D34" s="36" t="s">
        <v>155</v>
      </c>
      <c r="E34" s="36" t="s">
        <v>111</v>
      </c>
      <c r="F34" s="35" t="s">
        <v>128</v>
      </c>
    </row>
    <row r="35" spans="2:6" ht="30" x14ac:dyDescent="0.25">
      <c r="B35" s="26">
        <v>30</v>
      </c>
      <c r="C35" s="35" t="s">
        <v>152</v>
      </c>
      <c r="D35" s="36" t="s">
        <v>141</v>
      </c>
      <c r="E35" s="36" t="s">
        <v>98</v>
      </c>
      <c r="F35" s="35" t="s">
        <v>128</v>
      </c>
    </row>
    <row r="36" spans="2:6" ht="30" x14ac:dyDescent="0.25">
      <c r="B36" s="26">
        <v>31</v>
      </c>
      <c r="C36" s="35" t="s">
        <v>152</v>
      </c>
      <c r="D36" s="36" t="s">
        <v>156</v>
      </c>
      <c r="E36" s="36" t="s">
        <v>115</v>
      </c>
      <c r="F36" s="35" t="s">
        <v>128</v>
      </c>
    </row>
    <row r="37" spans="2:6" ht="30" x14ac:dyDescent="0.25">
      <c r="B37" s="26">
        <v>32</v>
      </c>
      <c r="C37" s="35" t="s">
        <v>152</v>
      </c>
      <c r="D37" s="36" t="s">
        <v>157</v>
      </c>
      <c r="E37" s="36" t="s">
        <v>93</v>
      </c>
      <c r="F37" s="35" t="s">
        <v>128</v>
      </c>
    </row>
    <row r="38" spans="2:6" x14ac:dyDescent="0.25">
      <c r="B38" s="26">
        <v>33</v>
      </c>
      <c r="C38" s="35" t="s">
        <v>150</v>
      </c>
      <c r="D38" s="36" t="s">
        <v>158</v>
      </c>
      <c r="E38" s="36" t="s">
        <v>94</v>
      </c>
      <c r="F38" s="35" t="s">
        <v>128</v>
      </c>
    </row>
    <row r="39" spans="2:6" ht="30" x14ac:dyDescent="0.25">
      <c r="B39" s="26">
        <v>34</v>
      </c>
      <c r="C39" s="35" t="s">
        <v>150</v>
      </c>
      <c r="D39" s="36" t="s">
        <v>159</v>
      </c>
      <c r="E39" s="36" t="s">
        <v>94</v>
      </c>
      <c r="F39" s="35" t="s">
        <v>128</v>
      </c>
    </row>
    <row r="40" spans="2:6" x14ac:dyDescent="0.25">
      <c r="B40" s="26">
        <v>35</v>
      </c>
      <c r="C40" s="35" t="s">
        <v>150</v>
      </c>
      <c r="D40" s="36" t="s">
        <v>160</v>
      </c>
      <c r="E40" s="36" t="s">
        <v>102</v>
      </c>
      <c r="F40" s="35" t="s">
        <v>128</v>
      </c>
    </row>
    <row r="41" spans="2:6" ht="30" x14ac:dyDescent="0.25">
      <c r="B41" s="26">
        <v>36</v>
      </c>
      <c r="C41" s="35" t="s">
        <v>150</v>
      </c>
      <c r="D41" s="36" t="s">
        <v>141</v>
      </c>
      <c r="E41" s="36" t="s">
        <v>98</v>
      </c>
      <c r="F41" s="35" t="s">
        <v>128</v>
      </c>
    </row>
    <row r="42" spans="2:6" x14ac:dyDescent="0.25">
      <c r="B42" s="26">
        <v>37</v>
      </c>
      <c r="C42" s="35" t="s">
        <v>150</v>
      </c>
      <c r="D42" s="36" t="s">
        <v>161</v>
      </c>
      <c r="E42" s="36" t="s">
        <v>110</v>
      </c>
      <c r="F42" s="35" t="s">
        <v>128</v>
      </c>
    </row>
    <row r="43" spans="2:6" x14ac:dyDescent="0.25">
      <c r="B43" s="26">
        <v>38</v>
      </c>
      <c r="C43" s="35" t="s">
        <v>162</v>
      </c>
      <c r="D43" s="37" t="s">
        <v>163</v>
      </c>
      <c r="E43" s="36" t="s">
        <v>111</v>
      </c>
      <c r="F43" s="35" t="s">
        <v>128</v>
      </c>
    </row>
    <row r="44" spans="2:6" ht="30" x14ac:dyDescent="0.25">
      <c r="B44" s="26">
        <v>39</v>
      </c>
      <c r="C44" s="35" t="s">
        <v>162</v>
      </c>
      <c r="D44" s="36" t="s">
        <v>141</v>
      </c>
      <c r="E44" s="36" t="s">
        <v>98</v>
      </c>
      <c r="F44" s="35" t="s">
        <v>128</v>
      </c>
    </row>
    <row r="45" spans="2:6" x14ac:dyDescent="0.25">
      <c r="B45" s="26">
        <v>40</v>
      </c>
      <c r="C45" s="35" t="s">
        <v>162</v>
      </c>
      <c r="D45" s="36" t="s">
        <v>160</v>
      </c>
      <c r="E45" s="36" t="s">
        <v>102</v>
      </c>
      <c r="F45" s="35" t="s">
        <v>128</v>
      </c>
    </row>
    <row r="46" spans="2:6" x14ac:dyDescent="0.25">
      <c r="B46" s="26">
        <v>41</v>
      </c>
      <c r="C46" s="35" t="s">
        <v>162</v>
      </c>
      <c r="D46" s="36" t="s">
        <v>164</v>
      </c>
      <c r="E46" s="36" t="s">
        <v>93</v>
      </c>
      <c r="F46" s="35" t="s">
        <v>128</v>
      </c>
    </row>
    <row r="47" spans="2:6" x14ac:dyDescent="0.25">
      <c r="B47" s="26">
        <v>42</v>
      </c>
      <c r="C47" s="35" t="s">
        <v>165</v>
      </c>
      <c r="D47" s="36" t="s">
        <v>147</v>
      </c>
      <c r="E47" s="36" t="s">
        <v>102</v>
      </c>
      <c r="F47" s="35" t="s">
        <v>128</v>
      </c>
    </row>
    <row r="48" spans="2:6" x14ac:dyDescent="0.25">
      <c r="B48" s="26">
        <v>43</v>
      </c>
      <c r="C48" s="35" t="s">
        <v>165</v>
      </c>
      <c r="D48" s="37" t="s">
        <v>163</v>
      </c>
      <c r="E48" s="36" t="s">
        <v>111</v>
      </c>
      <c r="F48" s="35" t="s">
        <v>128</v>
      </c>
    </row>
    <row r="49" spans="2:6" x14ac:dyDescent="0.25">
      <c r="B49" s="26">
        <v>44</v>
      </c>
      <c r="C49" s="35" t="s">
        <v>165</v>
      </c>
      <c r="D49" s="37" t="s">
        <v>163</v>
      </c>
      <c r="E49" s="36" t="s">
        <v>111</v>
      </c>
      <c r="F49" s="35" t="s">
        <v>128</v>
      </c>
    </row>
    <row r="50" spans="2:6" x14ac:dyDescent="0.25">
      <c r="B50" s="26">
        <v>45</v>
      </c>
      <c r="C50" s="35" t="s">
        <v>165</v>
      </c>
      <c r="D50" s="36" t="s">
        <v>164</v>
      </c>
      <c r="E50" s="36" t="s">
        <v>93</v>
      </c>
      <c r="F50" s="35" t="s">
        <v>128</v>
      </c>
    </row>
    <row r="51" spans="2:6" x14ac:dyDescent="0.25">
      <c r="B51" s="26">
        <v>46</v>
      </c>
      <c r="C51" s="35" t="s">
        <v>165</v>
      </c>
      <c r="D51" s="36" t="s">
        <v>166</v>
      </c>
      <c r="E51" s="36" t="s">
        <v>167</v>
      </c>
      <c r="F51" s="35" t="s">
        <v>128</v>
      </c>
    </row>
    <row r="52" spans="2:6" x14ac:dyDescent="0.25">
      <c r="B52" s="26">
        <v>47</v>
      </c>
      <c r="C52" s="35" t="s">
        <v>165</v>
      </c>
      <c r="D52" s="36" t="s">
        <v>168</v>
      </c>
      <c r="E52" s="36" t="s">
        <v>169</v>
      </c>
      <c r="F52" s="35" t="s">
        <v>128</v>
      </c>
    </row>
    <row r="53" spans="2:6" x14ac:dyDescent="0.25">
      <c r="B53" s="26">
        <v>48</v>
      </c>
      <c r="C53" s="35" t="s">
        <v>165</v>
      </c>
      <c r="D53" s="36" t="s">
        <v>170</v>
      </c>
      <c r="E53" s="36" t="s">
        <v>169</v>
      </c>
      <c r="F53" s="35" t="s">
        <v>128</v>
      </c>
    </row>
    <row r="54" spans="2:6" x14ac:dyDescent="0.25">
      <c r="B54" s="26">
        <v>49</v>
      </c>
      <c r="C54" s="35" t="s">
        <v>171</v>
      </c>
      <c r="D54" s="36" t="s">
        <v>172</v>
      </c>
      <c r="E54" s="36" t="s">
        <v>94</v>
      </c>
      <c r="F54" s="35" t="s">
        <v>128</v>
      </c>
    </row>
    <row r="55" spans="2:6" x14ac:dyDescent="0.25">
      <c r="B55" s="26">
        <v>50</v>
      </c>
      <c r="C55" s="35" t="s">
        <v>171</v>
      </c>
      <c r="D55" s="36" t="s">
        <v>173</v>
      </c>
      <c r="E55" s="36" t="s">
        <v>174</v>
      </c>
      <c r="F55" s="35" t="s">
        <v>128</v>
      </c>
    </row>
    <row r="56" spans="2:6" x14ac:dyDescent="0.25">
      <c r="B56" s="26">
        <v>51</v>
      </c>
      <c r="C56" s="35" t="s">
        <v>171</v>
      </c>
      <c r="D56" s="36" t="s">
        <v>175</v>
      </c>
      <c r="E56" s="36" t="s">
        <v>94</v>
      </c>
      <c r="F56" s="35" t="s">
        <v>128</v>
      </c>
    </row>
    <row r="57" spans="2:6" x14ac:dyDescent="0.25">
      <c r="B57" s="26">
        <v>52</v>
      </c>
      <c r="C57" s="35" t="s">
        <v>171</v>
      </c>
      <c r="D57" s="37" t="s">
        <v>163</v>
      </c>
      <c r="E57" s="36" t="s">
        <v>111</v>
      </c>
      <c r="F57" s="35" t="s">
        <v>128</v>
      </c>
    </row>
    <row r="58" spans="2:6" x14ac:dyDescent="0.25">
      <c r="B58" s="26">
        <v>53</v>
      </c>
      <c r="C58" s="35" t="s">
        <v>171</v>
      </c>
      <c r="D58" s="36" t="s">
        <v>176</v>
      </c>
      <c r="E58" s="38" t="s">
        <v>86</v>
      </c>
      <c r="F58" s="35" t="s">
        <v>128</v>
      </c>
    </row>
    <row r="59" spans="2:6" x14ac:dyDescent="0.25">
      <c r="B59" s="26">
        <v>54</v>
      </c>
      <c r="C59" s="35" t="s">
        <v>171</v>
      </c>
      <c r="D59" s="36" t="s">
        <v>166</v>
      </c>
      <c r="E59" s="36" t="s">
        <v>167</v>
      </c>
      <c r="F59" s="35" t="s">
        <v>128</v>
      </c>
    </row>
    <row r="60" spans="2:6" x14ac:dyDescent="0.25">
      <c r="B60" s="26">
        <v>55</v>
      </c>
      <c r="C60" s="35" t="s">
        <v>177</v>
      </c>
      <c r="D60" s="36" t="s">
        <v>178</v>
      </c>
      <c r="E60" s="36" t="s">
        <v>94</v>
      </c>
      <c r="F60" s="35" t="s">
        <v>128</v>
      </c>
    </row>
    <row r="61" spans="2:6" x14ac:dyDescent="0.25">
      <c r="B61" s="26">
        <v>56</v>
      </c>
      <c r="C61" s="35" t="s">
        <v>177</v>
      </c>
      <c r="D61" s="36" t="s">
        <v>172</v>
      </c>
      <c r="E61" s="36" t="s">
        <v>94</v>
      </c>
      <c r="F61" s="35" t="s">
        <v>128</v>
      </c>
    </row>
    <row r="62" spans="2:6" x14ac:dyDescent="0.25">
      <c r="B62" s="26">
        <v>57</v>
      </c>
      <c r="C62" s="35" t="s">
        <v>177</v>
      </c>
      <c r="D62" s="36" t="s">
        <v>179</v>
      </c>
      <c r="E62" s="36" t="s">
        <v>102</v>
      </c>
      <c r="F62" s="35" t="s">
        <v>128</v>
      </c>
    </row>
    <row r="63" spans="2:6" x14ac:dyDescent="0.25">
      <c r="B63" s="26">
        <v>58</v>
      </c>
      <c r="C63" s="35" t="s">
        <v>177</v>
      </c>
      <c r="D63" s="36" t="s">
        <v>180</v>
      </c>
      <c r="E63" s="36" t="s">
        <v>91</v>
      </c>
      <c r="F63" s="35" t="s">
        <v>128</v>
      </c>
    </row>
    <row r="64" spans="2:6" x14ac:dyDescent="0.25">
      <c r="B64" s="26">
        <v>59</v>
      </c>
      <c r="C64" s="35" t="s">
        <v>181</v>
      </c>
      <c r="D64" s="36" t="s">
        <v>180</v>
      </c>
      <c r="E64" s="36" t="s">
        <v>91</v>
      </c>
      <c r="F64" s="35" t="s">
        <v>128</v>
      </c>
    </row>
    <row r="65" spans="2:6" x14ac:dyDescent="0.25">
      <c r="B65" s="26">
        <v>60</v>
      </c>
      <c r="C65" s="35" t="s">
        <v>181</v>
      </c>
      <c r="D65" s="36" t="s">
        <v>182</v>
      </c>
      <c r="E65" s="36" t="s">
        <v>94</v>
      </c>
      <c r="F65" s="35" t="s">
        <v>128</v>
      </c>
    </row>
    <row r="66" spans="2:6" ht="30" x14ac:dyDescent="0.25">
      <c r="B66" s="26">
        <v>61</v>
      </c>
      <c r="C66" s="35" t="s">
        <v>181</v>
      </c>
      <c r="D66" s="36" t="s">
        <v>183</v>
      </c>
      <c r="E66" s="36" t="s">
        <v>102</v>
      </c>
      <c r="F66" s="35" t="s">
        <v>128</v>
      </c>
    </row>
    <row r="67" spans="2:6" x14ac:dyDescent="0.25">
      <c r="B67" s="26">
        <v>62</v>
      </c>
      <c r="C67" s="35" t="s">
        <v>181</v>
      </c>
      <c r="D67" s="36" t="s">
        <v>184</v>
      </c>
      <c r="E67" s="36" t="s">
        <v>104</v>
      </c>
      <c r="F67" s="35" t="s">
        <v>128</v>
      </c>
    </row>
    <row r="68" spans="2:6" x14ac:dyDescent="0.25">
      <c r="B68" s="26">
        <v>63</v>
      </c>
      <c r="C68" s="35" t="s">
        <v>181</v>
      </c>
      <c r="D68" s="36" t="s">
        <v>166</v>
      </c>
      <c r="E68" s="36" t="s">
        <v>167</v>
      </c>
      <c r="F68" s="35" t="s">
        <v>128</v>
      </c>
    </row>
    <row r="69" spans="2:6" x14ac:dyDescent="0.25">
      <c r="B69" s="26">
        <v>64</v>
      </c>
      <c r="C69" s="35" t="s">
        <v>181</v>
      </c>
      <c r="D69" s="36" t="s">
        <v>185</v>
      </c>
      <c r="E69" s="36" t="s">
        <v>186</v>
      </c>
      <c r="F69" s="35" t="s">
        <v>128</v>
      </c>
    </row>
    <row r="70" spans="2:6" x14ac:dyDescent="0.25">
      <c r="B70" s="26">
        <v>65</v>
      </c>
      <c r="C70" s="35" t="s">
        <v>181</v>
      </c>
      <c r="D70" s="36" t="s">
        <v>187</v>
      </c>
      <c r="E70" s="36" t="s">
        <v>106</v>
      </c>
      <c r="F70" s="35" t="s">
        <v>128</v>
      </c>
    </row>
    <row r="71" spans="2:6" x14ac:dyDescent="0.25">
      <c r="B71" s="26">
        <v>66</v>
      </c>
      <c r="C71" s="35" t="s">
        <v>181</v>
      </c>
      <c r="D71" s="36" t="s">
        <v>188</v>
      </c>
      <c r="E71" s="36" t="s">
        <v>92</v>
      </c>
      <c r="F71" s="35" t="s">
        <v>128</v>
      </c>
    </row>
    <row r="72" spans="2:6" x14ac:dyDescent="0.25">
      <c r="B72" s="26">
        <v>67</v>
      </c>
      <c r="C72" s="35" t="s">
        <v>181</v>
      </c>
      <c r="D72" s="36" t="s">
        <v>189</v>
      </c>
      <c r="E72" s="36" t="s">
        <v>102</v>
      </c>
      <c r="F72" s="35" t="s">
        <v>128</v>
      </c>
    </row>
    <row r="73" spans="2:6" x14ac:dyDescent="0.25">
      <c r="B73" s="26">
        <v>68</v>
      </c>
      <c r="C73" s="35" t="s">
        <v>190</v>
      </c>
      <c r="D73" s="36" t="s">
        <v>191</v>
      </c>
      <c r="E73" s="36" t="s">
        <v>104</v>
      </c>
      <c r="F73" s="35" t="s">
        <v>128</v>
      </c>
    </row>
    <row r="74" spans="2:6" x14ac:dyDescent="0.25">
      <c r="B74" s="26">
        <v>69</v>
      </c>
      <c r="C74" s="35" t="s">
        <v>190</v>
      </c>
      <c r="D74" s="36" t="s">
        <v>184</v>
      </c>
      <c r="E74" s="36" t="s">
        <v>104</v>
      </c>
      <c r="F74" s="35" t="s">
        <v>128</v>
      </c>
    </row>
    <row r="75" spans="2:6" x14ac:dyDescent="0.25">
      <c r="B75" s="26">
        <v>70</v>
      </c>
      <c r="C75" s="35" t="s">
        <v>190</v>
      </c>
      <c r="D75" s="36" t="s">
        <v>182</v>
      </c>
      <c r="E75" s="36" t="s">
        <v>94</v>
      </c>
      <c r="F75" s="35" t="s">
        <v>128</v>
      </c>
    </row>
    <row r="76" spans="2:6" x14ac:dyDescent="0.25">
      <c r="B76" s="26">
        <v>71</v>
      </c>
      <c r="C76" s="35" t="s">
        <v>190</v>
      </c>
      <c r="D76" s="36" t="s">
        <v>185</v>
      </c>
      <c r="E76" s="36" t="s">
        <v>186</v>
      </c>
      <c r="F76" s="35" t="s">
        <v>128</v>
      </c>
    </row>
    <row r="77" spans="2:6" ht="30" x14ac:dyDescent="0.25">
      <c r="B77" s="26">
        <v>72</v>
      </c>
      <c r="C77" s="35" t="s">
        <v>190</v>
      </c>
      <c r="D77" s="36" t="s">
        <v>192</v>
      </c>
      <c r="E77" s="36" t="s">
        <v>117</v>
      </c>
      <c r="F77" s="35" t="s">
        <v>128</v>
      </c>
    </row>
    <row r="78" spans="2:6" x14ac:dyDescent="0.25">
      <c r="B78" s="26">
        <v>73</v>
      </c>
      <c r="C78" s="35" t="s">
        <v>190</v>
      </c>
      <c r="D78" s="36" t="s">
        <v>180</v>
      </c>
      <c r="E78" s="36" t="s">
        <v>91</v>
      </c>
      <c r="F78" s="35" t="s">
        <v>128</v>
      </c>
    </row>
    <row r="79" spans="2:6" x14ac:dyDescent="0.25">
      <c r="B79" s="26">
        <v>74</v>
      </c>
      <c r="C79" s="35" t="s">
        <v>193</v>
      </c>
      <c r="D79" s="36" t="s">
        <v>180</v>
      </c>
      <c r="E79" s="36" t="s">
        <v>91</v>
      </c>
      <c r="F79" s="35" t="s">
        <v>128</v>
      </c>
    </row>
    <row r="80" spans="2:6" x14ac:dyDescent="0.25">
      <c r="B80" s="26">
        <v>75</v>
      </c>
      <c r="C80" s="35" t="s">
        <v>193</v>
      </c>
      <c r="D80" s="36" t="s">
        <v>184</v>
      </c>
      <c r="E80" s="36" t="s">
        <v>104</v>
      </c>
      <c r="F80" s="35" t="s">
        <v>128</v>
      </c>
    </row>
    <row r="81" spans="2:6" x14ac:dyDescent="0.25">
      <c r="B81" s="26">
        <v>76</v>
      </c>
      <c r="C81" s="35" t="s">
        <v>193</v>
      </c>
      <c r="D81" s="36" t="s">
        <v>194</v>
      </c>
      <c r="E81" s="36" t="s">
        <v>102</v>
      </c>
      <c r="F81" s="35" t="s">
        <v>128</v>
      </c>
    </row>
    <row r="82" spans="2:6" x14ac:dyDescent="0.25">
      <c r="B82" s="26">
        <v>77</v>
      </c>
      <c r="C82" s="35" t="s">
        <v>193</v>
      </c>
      <c r="D82" s="36" t="s">
        <v>182</v>
      </c>
      <c r="E82" s="36" t="s">
        <v>94</v>
      </c>
      <c r="F82" s="35" t="s">
        <v>128</v>
      </c>
    </row>
    <row r="83" spans="2:6" x14ac:dyDescent="0.25">
      <c r="B83" s="26">
        <v>78</v>
      </c>
      <c r="C83" s="35" t="s">
        <v>193</v>
      </c>
      <c r="D83" s="36" t="s">
        <v>188</v>
      </c>
      <c r="E83" s="36" t="s">
        <v>92</v>
      </c>
      <c r="F83" s="35" t="s">
        <v>128</v>
      </c>
    </row>
    <row r="84" spans="2:6" x14ac:dyDescent="0.25">
      <c r="B84" s="26">
        <v>79</v>
      </c>
      <c r="C84" s="35" t="s">
        <v>193</v>
      </c>
      <c r="D84" s="36" t="s">
        <v>166</v>
      </c>
      <c r="E84" s="36" t="s">
        <v>167</v>
      </c>
      <c r="F84" s="35" t="s">
        <v>128</v>
      </c>
    </row>
    <row r="85" spans="2:6" ht="30" x14ac:dyDescent="0.25">
      <c r="B85" s="26">
        <v>80</v>
      </c>
      <c r="C85" s="35" t="s">
        <v>193</v>
      </c>
      <c r="D85" s="36" t="s">
        <v>192</v>
      </c>
      <c r="E85" s="36" t="s">
        <v>117</v>
      </c>
      <c r="F85" s="35" t="s">
        <v>128</v>
      </c>
    </row>
    <row r="86" spans="2:6" x14ac:dyDescent="0.25">
      <c r="B86" s="26">
        <v>81</v>
      </c>
      <c r="C86" s="35" t="s">
        <v>193</v>
      </c>
      <c r="D86" s="36" t="s">
        <v>195</v>
      </c>
      <c r="E86" s="36" t="s">
        <v>196</v>
      </c>
      <c r="F86" s="35" t="s">
        <v>128</v>
      </c>
    </row>
    <row r="87" spans="2:6" x14ac:dyDescent="0.25">
      <c r="B87" s="26">
        <v>82</v>
      </c>
      <c r="C87" s="35" t="s">
        <v>193</v>
      </c>
      <c r="D87" s="36" t="s">
        <v>197</v>
      </c>
      <c r="E87" s="36" t="s">
        <v>100</v>
      </c>
      <c r="F87" s="35" t="s">
        <v>128</v>
      </c>
    </row>
    <row r="88" spans="2:6" x14ac:dyDescent="0.25">
      <c r="B88" s="26">
        <v>83</v>
      </c>
      <c r="C88" s="35" t="s">
        <v>198</v>
      </c>
      <c r="D88" s="36" t="s">
        <v>199</v>
      </c>
      <c r="E88" s="36" t="s">
        <v>104</v>
      </c>
      <c r="F88" s="35" t="s">
        <v>128</v>
      </c>
    </row>
    <row r="89" spans="2:6" x14ac:dyDescent="0.25">
      <c r="B89" s="26">
        <v>84</v>
      </c>
      <c r="C89" s="35" t="s">
        <v>198</v>
      </c>
      <c r="D89" s="36" t="s">
        <v>200</v>
      </c>
      <c r="E89" s="36" t="s">
        <v>104</v>
      </c>
      <c r="F89" s="35" t="s">
        <v>128</v>
      </c>
    </row>
    <row r="90" spans="2:6" ht="30" x14ac:dyDescent="0.25">
      <c r="B90" s="26">
        <v>85</v>
      </c>
      <c r="C90" s="35" t="s">
        <v>198</v>
      </c>
      <c r="D90" s="36" t="s">
        <v>201</v>
      </c>
      <c r="E90" s="36" t="s">
        <v>88</v>
      </c>
      <c r="F90" s="35" t="s">
        <v>128</v>
      </c>
    </row>
    <row r="91" spans="2:6" x14ac:dyDescent="0.25">
      <c r="B91" s="26">
        <v>86</v>
      </c>
      <c r="C91" s="35" t="s">
        <v>198</v>
      </c>
      <c r="D91" s="36" t="s">
        <v>184</v>
      </c>
      <c r="E91" s="36" t="s">
        <v>104</v>
      </c>
      <c r="F91" s="35" t="s">
        <v>128</v>
      </c>
    </row>
    <row r="92" spans="2:6" x14ac:dyDescent="0.25">
      <c r="B92" s="26">
        <v>87</v>
      </c>
      <c r="C92" s="35" t="s">
        <v>198</v>
      </c>
      <c r="D92" s="36" t="s">
        <v>166</v>
      </c>
      <c r="E92" s="36" t="s">
        <v>167</v>
      </c>
      <c r="F92" s="35" t="s">
        <v>128</v>
      </c>
    </row>
    <row r="93" spans="2:6" x14ac:dyDescent="0.25">
      <c r="B93" s="26">
        <v>88</v>
      </c>
      <c r="C93" s="35" t="s">
        <v>198</v>
      </c>
      <c r="D93" s="36" t="s">
        <v>202</v>
      </c>
      <c r="E93" s="36" t="s">
        <v>104</v>
      </c>
      <c r="F93" s="35" t="s">
        <v>128</v>
      </c>
    </row>
    <row r="94" spans="2:6" x14ac:dyDescent="0.25">
      <c r="B94" s="26">
        <v>89</v>
      </c>
      <c r="C94" s="35" t="s">
        <v>198</v>
      </c>
      <c r="D94" s="36" t="s">
        <v>180</v>
      </c>
      <c r="E94" s="37" t="s">
        <v>91</v>
      </c>
      <c r="F94" s="35" t="s">
        <v>128</v>
      </c>
    </row>
    <row r="95" spans="2:6" x14ac:dyDescent="0.25">
      <c r="B95" s="26">
        <v>90</v>
      </c>
      <c r="C95" s="39" t="s">
        <v>203</v>
      </c>
      <c r="D95" s="36" t="s">
        <v>204</v>
      </c>
      <c r="E95" s="37" t="s">
        <v>84</v>
      </c>
      <c r="F95" s="35" t="s">
        <v>128</v>
      </c>
    </row>
    <row r="96" spans="2:6" ht="30" x14ac:dyDescent="0.25">
      <c r="B96" s="26">
        <v>91</v>
      </c>
      <c r="C96" s="35" t="s">
        <v>203</v>
      </c>
      <c r="D96" s="36" t="s">
        <v>205</v>
      </c>
      <c r="E96" s="36" t="s">
        <v>105</v>
      </c>
      <c r="F96" s="35" t="s">
        <v>128</v>
      </c>
    </row>
    <row r="97" spans="2:6" x14ac:dyDescent="0.25">
      <c r="B97" s="26">
        <v>92</v>
      </c>
      <c r="C97" s="39" t="s">
        <v>203</v>
      </c>
      <c r="D97" s="36" t="s">
        <v>206</v>
      </c>
      <c r="E97" s="37" t="s">
        <v>104</v>
      </c>
      <c r="F97" s="35" t="s">
        <v>128</v>
      </c>
    </row>
    <row r="98" spans="2:6" x14ac:dyDescent="0.25">
      <c r="B98" s="26">
        <v>93</v>
      </c>
      <c r="C98" s="39" t="s">
        <v>203</v>
      </c>
      <c r="D98" s="36" t="s">
        <v>191</v>
      </c>
      <c r="E98" s="37" t="s">
        <v>104</v>
      </c>
      <c r="F98" s="35" t="s">
        <v>128</v>
      </c>
    </row>
    <row r="99" spans="2:6" x14ac:dyDescent="0.25">
      <c r="B99" s="26">
        <v>94</v>
      </c>
      <c r="C99" s="39" t="s">
        <v>203</v>
      </c>
      <c r="D99" s="36" t="s">
        <v>207</v>
      </c>
      <c r="E99" s="37" t="s">
        <v>104</v>
      </c>
      <c r="F99" s="35" t="s">
        <v>128</v>
      </c>
    </row>
    <row r="100" spans="2:6" x14ac:dyDescent="0.25">
      <c r="B100" s="26">
        <v>95</v>
      </c>
      <c r="C100" s="39" t="s">
        <v>203</v>
      </c>
      <c r="D100" s="36" t="s">
        <v>180</v>
      </c>
      <c r="E100" s="37" t="s">
        <v>91</v>
      </c>
      <c r="F100" s="35" t="s">
        <v>128</v>
      </c>
    </row>
    <row r="101" spans="2:6" ht="30" x14ac:dyDescent="0.25">
      <c r="B101" s="26">
        <v>96</v>
      </c>
      <c r="C101" s="39" t="s">
        <v>203</v>
      </c>
      <c r="D101" s="36" t="s">
        <v>208</v>
      </c>
      <c r="E101" s="37" t="s">
        <v>104</v>
      </c>
      <c r="F101" s="35" t="s">
        <v>128</v>
      </c>
    </row>
    <row r="102" spans="2:6" ht="30" x14ac:dyDescent="0.25">
      <c r="B102" s="26">
        <v>97</v>
      </c>
      <c r="C102" s="39" t="s">
        <v>203</v>
      </c>
      <c r="D102" s="36" t="s">
        <v>209</v>
      </c>
      <c r="E102" s="37" t="s">
        <v>104</v>
      </c>
      <c r="F102" s="35" t="s">
        <v>128</v>
      </c>
    </row>
    <row r="103" spans="2:6" x14ac:dyDescent="0.25">
      <c r="B103" s="26">
        <v>98</v>
      </c>
      <c r="C103" s="39" t="s">
        <v>203</v>
      </c>
      <c r="D103" s="36" t="s">
        <v>210</v>
      </c>
      <c r="E103" s="36" t="s">
        <v>102</v>
      </c>
      <c r="F103" s="35" t="s">
        <v>128</v>
      </c>
    </row>
    <row r="104" spans="2:6" x14ac:dyDescent="0.25">
      <c r="B104" s="26">
        <v>99</v>
      </c>
      <c r="C104" s="39" t="s">
        <v>211</v>
      </c>
      <c r="D104" s="36" t="s">
        <v>180</v>
      </c>
      <c r="E104" s="37" t="s">
        <v>91</v>
      </c>
      <c r="F104" s="35" t="s">
        <v>128</v>
      </c>
    </row>
    <row r="105" spans="2:6" ht="30" x14ac:dyDescent="0.25">
      <c r="B105" s="26">
        <v>100</v>
      </c>
      <c r="C105" s="39" t="s">
        <v>211</v>
      </c>
      <c r="D105" s="36" t="s">
        <v>205</v>
      </c>
      <c r="E105" s="37" t="s">
        <v>105</v>
      </c>
      <c r="F105" s="35" t="s">
        <v>212</v>
      </c>
    </row>
    <row r="106" spans="2:6" x14ac:dyDescent="0.25">
      <c r="B106" s="26">
        <v>101</v>
      </c>
      <c r="C106" s="39" t="s">
        <v>211</v>
      </c>
      <c r="D106" s="36" t="s">
        <v>204</v>
      </c>
      <c r="E106" s="37" t="s">
        <v>84</v>
      </c>
      <c r="F106" s="35" t="s">
        <v>128</v>
      </c>
    </row>
    <row r="107" spans="2:6" x14ac:dyDescent="0.25">
      <c r="B107" s="26">
        <v>102</v>
      </c>
      <c r="C107" s="39" t="s">
        <v>211</v>
      </c>
      <c r="D107" s="36" t="s">
        <v>213</v>
      </c>
      <c r="E107" s="37" t="s">
        <v>104</v>
      </c>
      <c r="F107" s="35" t="s">
        <v>212</v>
      </c>
    </row>
    <row r="108" spans="2:6" x14ac:dyDescent="0.25">
      <c r="B108" s="26">
        <v>103</v>
      </c>
      <c r="C108" s="39" t="s">
        <v>211</v>
      </c>
      <c r="D108" s="36" t="s">
        <v>214</v>
      </c>
      <c r="E108" s="36" t="s">
        <v>104</v>
      </c>
      <c r="F108" s="35" t="s">
        <v>128</v>
      </c>
    </row>
    <row r="109" spans="2:6" x14ac:dyDescent="0.25">
      <c r="B109" s="26">
        <v>104</v>
      </c>
      <c r="C109" s="39" t="s">
        <v>211</v>
      </c>
      <c r="D109" s="36" t="s">
        <v>215</v>
      </c>
      <c r="E109" s="36" t="s">
        <v>104</v>
      </c>
      <c r="F109" s="35" t="s">
        <v>128</v>
      </c>
    </row>
    <row r="110" spans="2:6" x14ac:dyDescent="0.25">
      <c r="B110" s="26">
        <v>105</v>
      </c>
      <c r="C110" s="39" t="s">
        <v>211</v>
      </c>
      <c r="D110" s="36" t="s">
        <v>216</v>
      </c>
      <c r="E110" s="36" t="s">
        <v>104</v>
      </c>
      <c r="F110" s="35" t="s">
        <v>128</v>
      </c>
    </row>
    <row r="111" spans="2:6" x14ac:dyDescent="0.25">
      <c r="B111" s="26">
        <v>106</v>
      </c>
      <c r="C111" s="39" t="s">
        <v>211</v>
      </c>
      <c r="D111" s="36" t="s">
        <v>217</v>
      </c>
      <c r="E111" s="36" t="s">
        <v>104</v>
      </c>
      <c r="F111" s="35" t="s">
        <v>128</v>
      </c>
    </row>
    <row r="112" spans="2:6" ht="30" x14ac:dyDescent="0.25">
      <c r="B112" s="26">
        <v>107</v>
      </c>
      <c r="C112" s="39" t="s">
        <v>211</v>
      </c>
      <c r="D112" s="36" t="s">
        <v>218</v>
      </c>
      <c r="E112" s="36" t="s">
        <v>98</v>
      </c>
      <c r="F112" s="35" t="s">
        <v>128</v>
      </c>
    </row>
    <row r="113" spans="2:10" x14ac:dyDescent="0.25">
      <c r="B113" s="26">
        <v>108</v>
      </c>
      <c r="C113" s="39" t="s">
        <v>211</v>
      </c>
      <c r="D113" s="36" t="s">
        <v>219</v>
      </c>
      <c r="E113" s="36" t="s">
        <v>220</v>
      </c>
      <c r="F113" s="35" t="s">
        <v>128</v>
      </c>
    </row>
    <row r="114" spans="2:10" x14ac:dyDescent="0.25">
      <c r="B114" s="26">
        <v>109</v>
      </c>
      <c r="C114" s="39" t="s">
        <v>211</v>
      </c>
      <c r="D114" s="36" t="s">
        <v>221</v>
      </c>
      <c r="E114" s="36" t="s">
        <v>220</v>
      </c>
      <c r="F114" s="35" t="s">
        <v>128</v>
      </c>
    </row>
    <row r="115" spans="2:10" ht="30" x14ac:dyDescent="0.25">
      <c r="B115" s="26">
        <v>110</v>
      </c>
      <c r="C115" s="39" t="s">
        <v>211</v>
      </c>
      <c r="D115" s="36" t="s">
        <v>183</v>
      </c>
      <c r="E115" s="36" t="s">
        <v>220</v>
      </c>
      <c r="F115" s="35" t="s">
        <v>128</v>
      </c>
    </row>
    <row r="116" spans="2:10" x14ac:dyDescent="0.25">
      <c r="B116" s="26">
        <v>111</v>
      </c>
      <c r="C116" s="39" t="s">
        <v>211</v>
      </c>
      <c r="D116" s="36" t="s">
        <v>222</v>
      </c>
      <c r="E116" s="36" t="s">
        <v>220</v>
      </c>
      <c r="F116" s="35" t="s">
        <v>128</v>
      </c>
    </row>
    <row r="117" spans="2:10" x14ac:dyDescent="0.25">
      <c r="B117" s="26">
        <v>112</v>
      </c>
      <c r="C117" s="39" t="s">
        <v>211</v>
      </c>
      <c r="D117" s="36" t="s">
        <v>223</v>
      </c>
      <c r="E117" s="36" t="s">
        <v>104</v>
      </c>
      <c r="F117" s="35" t="s">
        <v>212</v>
      </c>
    </row>
    <row r="118" spans="2:10" x14ac:dyDescent="0.25">
      <c r="B118" s="26">
        <v>113</v>
      </c>
      <c r="C118" s="39" t="s">
        <v>211</v>
      </c>
      <c r="D118" s="36" t="s">
        <v>224</v>
      </c>
      <c r="E118" s="36" t="s">
        <v>104</v>
      </c>
      <c r="F118" s="35" t="s">
        <v>212</v>
      </c>
    </row>
    <row r="119" spans="2:10" x14ac:dyDescent="0.25">
      <c r="B119" s="26">
        <v>114</v>
      </c>
      <c r="C119" s="35" t="s">
        <v>211</v>
      </c>
      <c r="D119" s="36" t="s">
        <v>191</v>
      </c>
      <c r="E119" s="36" t="s">
        <v>104</v>
      </c>
      <c r="F119" s="35" t="s">
        <v>128</v>
      </c>
    </row>
    <row r="120" spans="2:10" x14ac:dyDescent="0.25">
      <c r="B120" s="26">
        <v>115</v>
      </c>
      <c r="C120" s="3" t="s">
        <v>225</v>
      </c>
      <c r="D120" s="3" t="s">
        <v>79</v>
      </c>
      <c r="E120" s="3" t="s">
        <v>220</v>
      </c>
      <c r="F120" s="35" t="s">
        <v>128</v>
      </c>
    </row>
    <row r="121" spans="2:10" x14ac:dyDescent="0.25">
      <c r="B121" s="26">
        <v>116</v>
      </c>
      <c r="C121" s="3" t="s">
        <v>225</v>
      </c>
      <c r="D121" s="3" t="s">
        <v>78</v>
      </c>
      <c r="E121" s="3" t="s">
        <v>220</v>
      </c>
      <c r="F121" s="35" t="s">
        <v>128</v>
      </c>
      <c r="J121">
        <f>125*17*20</f>
        <v>42500</v>
      </c>
    </row>
    <row r="122" spans="2:10" x14ac:dyDescent="0.25">
      <c r="B122" s="26">
        <v>117</v>
      </c>
      <c r="C122" s="3" t="s">
        <v>225</v>
      </c>
      <c r="D122" s="3" t="s">
        <v>226</v>
      </c>
      <c r="E122" s="3" t="s">
        <v>220</v>
      </c>
      <c r="F122" s="35" t="s">
        <v>128</v>
      </c>
    </row>
    <row r="123" spans="2:10" x14ac:dyDescent="0.25">
      <c r="B123" s="26">
        <v>118</v>
      </c>
      <c r="C123" s="3" t="s">
        <v>225</v>
      </c>
      <c r="D123" s="3" t="s">
        <v>227</v>
      </c>
      <c r="E123" s="3" t="s">
        <v>220</v>
      </c>
      <c r="F123" s="35" t="s">
        <v>128</v>
      </c>
    </row>
    <row r="124" spans="2:10" x14ac:dyDescent="0.25">
      <c r="B124" s="26">
        <v>119</v>
      </c>
      <c r="C124" s="3" t="s">
        <v>225</v>
      </c>
      <c r="D124" s="40" t="s">
        <v>179</v>
      </c>
      <c r="E124" s="40" t="s">
        <v>220</v>
      </c>
      <c r="F124" s="35" t="s">
        <v>128</v>
      </c>
    </row>
    <row r="125" spans="2:10" x14ac:dyDescent="0.25">
      <c r="B125" s="26">
        <v>120</v>
      </c>
      <c r="C125" s="3" t="s">
        <v>225</v>
      </c>
      <c r="D125" s="3" t="s">
        <v>191</v>
      </c>
      <c r="E125" s="3" t="s">
        <v>104</v>
      </c>
      <c r="F125" s="35" t="s">
        <v>128</v>
      </c>
    </row>
    <row r="126" spans="2:10" x14ac:dyDescent="0.25">
      <c r="B126" s="26">
        <v>121</v>
      </c>
      <c r="C126" s="3" t="s">
        <v>225</v>
      </c>
      <c r="D126" s="3" t="s">
        <v>228</v>
      </c>
      <c r="E126" s="3" t="s">
        <v>104</v>
      </c>
      <c r="F126" s="35" t="s">
        <v>128</v>
      </c>
      <c r="J126">
        <f>2250*17</f>
        <v>38250</v>
      </c>
    </row>
    <row r="127" spans="2:10" x14ac:dyDescent="0.25">
      <c r="B127" s="26">
        <v>122</v>
      </c>
      <c r="C127" s="3" t="s">
        <v>225</v>
      </c>
      <c r="D127" s="3" t="s">
        <v>75</v>
      </c>
      <c r="E127" s="3" t="s">
        <v>104</v>
      </c>
      <c r="F127" s="35" t="s">
        <v>128</v>
      </c>
    </row>
    <row r="128" spans="2:10" x14ac:dyDescent="0.25">
      <c r="B128" s="26">
        <v>123</v>
      </c>
      <c r="C128" s="3" t="s">
        <v>225</v>
      </c>
      <c r="D128" s="3" t="s">
        <v>229</v>
      </c>
      <c r="E128" s="3" t="s">
        <v>104</v>
      </c>
      <c r="F128" s="35" t="s">
        <v>128</v>
      </c>
    </row>
    <row r="129" spans="2:6" x14ac:dyDescent="0.25">
      <c r="B129" s="26">
        <v>124</v>
      </c>
      <c r="C129" s="3" t="s">
        <v>225</v>
      </c>
      <c r="D129" s="40" t="s">
        <v>230</v>
      </c>
      <c r="E129" s="40" t="s">
        <v>104</v>
      </c>
      <c r="F129" s="35" t="s">
        <v>128</v>
      </c>
    </row>
    <row r="130" spans="2:6" x14ac:dyDescent="0.25">
      <c r="B130" s="26">
        <v>125</v>
      </c>
      <c r="C130" s="3" t="s">
        <v>225</v>
      </c>
      <c r="D130" s="40" t="s">
        <v>231</v>
      </c>
      <c r="E130" s="40" t="s">
        <v>104</v>
      </c>
      <c r="F130" s="35"/>
    </row>
    <row r="131" spans="2:6" x14ac:dyDescent="0.25">
      <c r="B131" s="26">
        <v>126</v>
      </c>
      <c r="C131" s="3" t="s">
        <v>225</v>
      </c>
      <c r="D131" s="3" t="s">
        <v>232</v>
      </c>
      <c r="E131" s="3" t="s">
        <v>233</v>
      </c>
      <c r="F131" s="35" t="s">
        <v>128</v>
      </c>
    </row>
    <row r="132" spans="2:6" x14ac:dyDescent="0.25">
      <c r="B132" s="26">
        <v>127</v>
      </c>
      <c r="C132" s="3" t="s">
        <v>225</v>
      </c>
      <c r="D132" s="3" t="s">
        <v>180</v>
      </c>
      <c r="E132" s="3" t="s">
        <v>136</v>
      </c>
      <c r="F132" s="35" t="s">
        <v>128</v>
      </c>
    </row>
    <row r="133" spans="2:6" x14ac:dyDescent="0.25">
      <c r="B133" s="26">
        <v>128</v>
      </c>
      <c r="C133" s="40" t="s">
        <v>234</v>
      </c>
      <c r="D133" s="40" t="s">
        <v>235</v>
      </c>
      <c r="E133" s="40" t="s">
        <v>98</v>
      </c>
      <c r="F133" s="3" t="s">
        <v>128</v>
      </c>
    </row>
    <row r="134" spans="2:6" x14ac:dyDescent="0.25">
      <c r="B134" s="26">
        <v>129</v>
      </c>
      <c r="C134" s="40" t="s">
        <v>234</v>
      </c>
      <c r="D134" s="40" t="s">
        <v>236</v>
      </c>
      <c r="E134" s="40" t="s">
        <v>220</v>
      </c>
      <c r="F134" s="3" t="s">
        <v>128</v>
      </c>
    </row>
    <row r="135" spans="2:6" x14ac:dyDescent="0.25">
      <c r="B135" s="26">
        <v>130</v>
      </c>
      <c r="C135" s="40" t="s">
        <v>234</v>
      </c>
      <c r="D135" s="40" t="s">
        <v>78</v>
      </c>
      <c r="E135" s="40" t="s">
        <v>220</v>
      </c>
      <c r="F135" s="3" t="s">
        <v>128</v>
      </c>
    </row>
    <row r="136" spans="2:6" x14ac:dyDescent="0.25">
      <c r="B136" s="26">
        <v>131</v>
      </c>
      <c r="C136" s="40" t="s">
        <v>234</v>
      </c>
      <c r="D136" s="40" t="s">
        <v>180</v>
      </c>
      <c r="E136" s="40" t="s">
        <v>136</v>
      </c>
      <c r="F136" s="3" t="s">
        <v>128</v>
      </c>
    </row>
    <row r="137" spans="2:6" x14ac:dyDescent="0.25">
      <c r="B137" s="26">
        <v>132</v>
      </c>
      <c r="C137" s="40" t="s">
        <v>234</v>
      </c>
      <c r="D137" s="40" t="s">
        <v>237</v>
      </c>
      <c r="E137" s="40" t="s">
        <v>104</v>
      </c>
      <c r="F137" s="3" t="s">
        <v>238</v>
      </c>
    </row>
    <row r="138" spans="2:6" x14ac:dyDescent="0.25">
      <c r="B138" s="26">
        <v>133</v>
      </c>
      <c r="C138" s="40" t="s">
        <v>234</v>
      </c>
      <c r="D138" s="40" t="s">
        <v>239</v>
      </c>
      <c r="E138" s="40" t="s">
        <v>220</v>
      </c>
      <c r="F138" s="3" t="s">
        <v>128</v>
      </c>
    </row>
    <row r="139" spans="2:6" x14ac:dyDescent="0.25">
      <c r="B139" s="26">
        <v>134</v>
      </c>
      <c r="C139" s="40" t="s">
        <v>234</v>
      </c>
      <c r="D139" s="40" t="s">
        <v>232</v>
      </c>
      <c r="E139" s="40" t="s">
        <v>233</v>
      </c>
      <c r="F139" s="3" t="s">
        <v>128</v>
      </c>
    </row>
    <row r="140" spans="2:6" x14ac:dyDescent="0.25">
      <c r="B140" s="26">
        <v>135</v>
      </c>
      <c r="C140" s="40" t="s">
        <v>234</v>
      </c>
      <c r="D140" s="40" t="s">
        <v>240</v>
      </c>
      <c r="E140" s="40" t="s">
        <v>241</v>
      </c>
      <c r="F140" s="3" t="s">
        <v>128</v>
      </c>
    </row>
    <row r="141" spans="2:6" x14ac:dyDescent="0.25">
      <c r="B141" s="26">
        <v>136</v>
      </c>
      <c r="C141" s="40" t="s">
        <v>242</v>
      </c>
      <c r="D141" s="40" t="s">
        <v>235</v>
      </c>
      <c r="E141" s="40" t="s">
        <v>98</v>
      </c>
      <c r="F141" s="3" t="s">
        <v>128</v>
      </c>
    </row>
    <row r="142" spans="2:6" x14ac:dyDescent="0.25">
      <c r="B142" s="26">
        <v>137</v>
      </c>
      <c r="C142" s="40" t="s">
        <v>242</v>
      </c>
      <c r="D142" s="40" t="s">
        <v>232</v>
      </c>
      <c r="E142" s="40" t="s">
        <v>233</v>
      </c>
      <c r="F142" s="3" t="s">
        <v>238</v>
      </c>
    </row>
    <row r="143" spans="2:6" x14ac:dyDescent="0.25">
      <c r="B143" s="26">
        <v>138</v>
      </c>
      <c r="C143" s="40" t="s">
        <v>242</v>
      </c>
      <c r="D143" s="40" t="s">
        <v>243</v>
      </c>
      <c r="E143" s="40" t="s">
        <v>244</v>
      </c>
      <c r="F143" s="3" t="s">
        <v>238</v>
      </c>
    </row>
    <row r="144" spans="2:6" x14ac:dyDescent="0.25">
      <c r="B144" s="26">
        <v>139</v>
      </c>
      <c r="C144" s="40" t="s">
        <v>242</v>
      </c>
      <c r="D144" s="40" t="s">
        <v>245</v>
      </c>
      <c r="E144" s="40" t="s">
        <v>244</v>
      </c>
      <c r="F144" s="3" t="s">
        <v>128</v>
      </c>
    </row>
    <row r="145" spans="2:6" x14ac:dyDescent="0.25">
      <c r="B145" s="26">
        <v>140</v>
      </c>
      <c r="C145" s="40" t="s">
        <v>242</v>
      </c>
      <c r="D145" s="40" t="s">
        <v>180</v>
      </c>
      <c r="E145" s="40" t="s">
        <v>136</v>
      </c>
      <c r="F145" s="3" t="s">
        <v>128</v>
      </c>
    </row>
    <row r="146" spans="2:6" x14ac:dyDescent="0.25">
      <c r="B146" s="26">
        <v>141</v>
      </c>
      <c r="C146" s="40" t="s">
        <v>242</v>
      </c>
      <c r="D146" s="40" t="s">
        <v>246</v>
      </c>
      <c r="E146" s="40" t="s">
        <v>167</v>
      </c>
      <c r="F146" s="3" t="s">
        <v>238</v>
      </c>
    </row>
    <row r="147" spans="2:6" x14ac:dyDescent="0.25">
      <c r="B147" s="26">
        <v>142</v>
      </c>
      <c r="C147" s="40" t="s">
        <v>242</v>
      </c>
      <c r="D147" s="40" t="s">
        <v>247</v>
      </c>
      <c r="E147" s="40" t="s">
        <v>167</v>
      </c>
      <c r="F147" s="3" t="s">
        <v>238</v>
      </c>
    </row>
  </sheetData>
  <mergeCells count="1">
    <mergeCell ref="B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selection activeCell="F15" sqref="F15"/>
    </sheetView>
  </sheetViews>
  <sheetFormatPr defaultRowHeight="15" x14ac:dyDescent="0.25"/>
  <cols>
    <col min="2" max="2" width="6.85546875" style="1" customWidth="1"/>
    <col min="3" max="3" width="67.7109375" customWidth="1"/>
  </cols>
  <sheetData>
    <row r="2" spans="2:3" x14ac:dyDescent="0.25">
      <c r="B2" s="28"/>
      <c r="C2" s="29"/>
    </row>
    <row r="3" spans="2:3" x14ac:dyDescent="0.25">
      <c r="B3" s="42">
        <v>1</v>
      </c>
      <c r="C3" s="43" t="s">
        <v>58</v>
      </c>
    </row>
    <row r="4" spans="2:3" x14ac:dyDescent="0.25">
      <c r="B4" s="42">
        <v>2</v>
      </c>
      <c r="C4" s="43" t="s">
        <v>56</v>
      </c>
    </row>
    <row r="5" spans="2:3" x14ac:dyDescent="0.25">
      <c r="B5" s="42">
        <v>3</v>
      </c>
      <c r="C5" s="43" t="s">
        <v>59</v>
      </c>
    </row>
    <row r="6" spans="2:3" x14ac:dyDescent="0.25">
      <c r="B6" s="42">
        <v>4</v>
      </c>
      <c r="C6" s="43" t="s">
        <v>60</v>
      </c>
    </row>
    <row r="7" spans="2:3" x14ac:dyDescent="0.25">
      <c r="B7" s="42">
        <v>5</v>
      </c>
      <c r="C7" s="43" t="s">
        <v>57</v>
      </c>
    </row>
    <row r="8" spans="2:3" x14ac:dyDescent="0.25">
      <c r="B8" s="42">
        <v>6</v>
      </c>
      <c r="C8" s="43" t="s">
        <v>62</v>
      </c>
    </row>
    <row r="9" spans="2:3" x14ac:dyDescent="0.25">
      <c r="B9" s="42">
        <v>7</v>
      </c>
      <c r="C9" s="43" t="s">
        <v>61</v>
      </c>
    </row>
    <row r="10" spans="2:3" x14ac:dyDescent="0.25">
      <c r="B10" s="42">
        <v>8</v>
      </c>
      <c r="C10" s="43"/>
    </row>
    <row r="11" spans="2:3" x14ac:dyDescent="0.25">
      <c r="B11" s="42">
        <v>9</v>
      </c>
      <c r="C11" s="43"/>
    </row>
    <row r="12" spans="2:3" x14ac:dyDescent="0.25">
      <c r="B12" s="42">
        <v>10</v>
      </c>
      <c r="C12" s="4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1"/>
  <sheetViews>
    <sheetView tabSelected="1" workbookViewId="0">
      <selection activeCell="H14" sqref="H14"/>
    </sheetView>
  </sheetViews>
  <sheetFormatPr defaultRowHeight="15" x14ac:dyDescent="0.25"/>
  <cols>
    <col min="2" max="2" width="5.140625" style="1" customWidth="1"/>
    <col min="3" max="3" width="26.7109375" customWidth="1"/>
    <col min="4" max="4" width="30.42578125" customWidth="1"/>
    <col min="5" max="5" width="30.42578125" style="2" customWidth="1"/>
    <col min="8" max="8" width="19.42578125" bestFit="1" customWidth="1"/>
    <col min="9" max="9" width="27.28515625" customWidth="1"/>
  </cols>
  <sheetData>
    <row r="2" spans="2:9" ht="30.75" customHeight="1" x14ac:dyDescent="0.25">
      <c r="B2" s="19" t="s">
        <v>14</v>
      </c>
      <c r="C2" s="48" t="s">
        <v>11</v>
      </c>
      <c r="D2" s="48"/>
      <c r="E2" s="49" t="s">
        <v>13</v>
      </c>
      <c r="H2" s="47" t="s">
        <v>18</v>
      </c>
      <c r="I2" s="47"/>
    </row>
    <row r="3" spans="2:9" x14ac:dyDescent="0.25">
      <c r="B3" s="16">
        <v>1</v>
      </c>
      <c r="C3" s="4" t="s">
        <v>9</v>
      </c>
      <c r="D3" s="5" t="s">
        <v>10</v>
      </c>
      <c r="E3" s="50"/>
    </row>
    <row r="4" spans="2:9" x14ac:dyDescent="0.25">
      <c r="B4" s="16">
        <v>2</v>
      </c>
      <c r="C4" s="6" t="s">
        <v>0</v>
      </c>
      <c r="D4" s="6" t="s">
        <v>1</v>
      </c>
      <c r="E4" s="50"/>
      <c r="H4" s="21" t="s">
        <v>19</v>
      </c>
      <c r="I4" s="3"/>
    </row>
    <row r="5" spans="2:9" x14ac:dyDescent="0.25">
      <c r="B5" s="16">
        <v>3</v>
      </c>
      <c r="C5" s="6" t="s">
        <v>2</v>
      </c>
      <c r="D5" s="6" t="s">
        <v>3</v>
      </c>
      <c r="E5" s="50"/>
      <c r="H5" s="21" t="s">
        <v>22</v>
      </c>
      <c r="I5" s="3"/>
    </row>
    <row r="6" spans="2:9" x14ac:dyDescent="0.25">
      <c r="B6" s="16">
        <v>4</v>
      </c>
      <c r="C6" s="6" t="s">
        <v>4</v>
      </c>
      <c r="D6" s="6" t="s">
        <v>5</v>
      </c>
      <c r="E6" s="50"/>
      <c r="H6" s="21" t="s">
        <v>23</v>
      </c>
      <c r="I6" s="3"/>
    </row>
    <row r="7" spans="2:9" x14ac:dyDescent="0.25">
      <c r="B7" s="16">
        <v>5</v>
      </c>
      <c r="C7" s="6" t="s">
        <v>6</v>
      </c>
      <c r="D7" s="6">
        <v>514321523</v>
      </c>
      <c r="E7" s="51"/>
      <c r="H7" s="21" t="s">
        <v>256</v>
      </c>
      <c r="I7" s="3"/>
    </row>
    <row r="9" spans="2:9" s="7" customFormat="1" x14ac:dyDescent="0.25">
      <c r="B9" s="18" t="s">
        <v>15</v>
      </c>
      <c r="C9" s="60" t="s">
        <v>7</v>
      </c>
      <c r="D9" s="61"/>
      <c r="E9" s="52" t="s">
        <v>12</v>
      </c>
    </row>
    <row r="10" spans="2:9" s="7" customFormat="1" x14ac:dyDescent="0.25">
      <c r="B10" s="17">
        <v>1</v>
      </c>
      <c r="C10" s="11" t="s">
        <v>9</v>
      </c>
      <c r="D10" s="12" t="s">
        <v>8</v>
      </c>
      <c r="E10" s="53"/>
    </row>
    <row r="11" spans="2:9" s="7" customFormat="1" x14ac:dyDescent="0.25">
      <c r="B11" s="17">
        <v>2</v>
      </c>
      <c r="C11" s="13" t="s">
        <v>6</v>
      </c>
      <c r="D11" s="13">
        <v>6477627140</v>
      </c>
      <c r="E11" s="53"/>
    </row>
    <row r="12" spans="2:9" s="7" customFormat="1" x14ac:dyDescent="0.25">
      <c r="B12" s="17">
        <v>3</v>
      </c>
      <c r="C12" s="13" t="s">
        <v>0</v>
      </c>
      <c r="D12" s="13" t="s">
        <v>1</v>
      </c>
      <c r="E12" s="53"/>
    </row>
    <row r="13" spans="2:9" s="7" customFormat="1" x14ac:dyDescent="0.25">
      <c r="B13" s="17">
        <v>4</v>
      </c>
      <c r="C13" s="13" t="s">
        <v>2</v>
      </c>
      <c r="D13" s="13" t="s">
        <v>3</v>
      </c>
      <c r="E13" s="53"/>
    </row>
    <row r="14" spans="2:9" s="7" customFormat="1" x14ac:dyDescent="0.25">
      <c r="B14" s="17">
        <v>5</v>
      </c>
      <c r="C14" s="13" t="s">
        <v>4</v>
      </c>
      <c r="D14" s="13" t="s">
        <v>5</v>
      </c>
      <c r="E14" s="54"/>
    </row>
    <row r="16" spans="2:9" s="7" customFormat="1" x14ac:dyDescent="0.25">
      <c r="B16" s="14" t="s">
        <v>16</v>
      </c>
      <c r="C16" s="58" t="s">
        <v>17</v>
      </c>
      <c r="D16" s="59"/>
      <c r="E16" s="55" t="s">
        <v>13</v>
      </c>
    </row>
    <row r="17" spans="2:5" s="7" customFormat="1" x14ac:dyDescent="0.25">
      <c r="B17" s="15">
        <v>1</v>
      </c>
      <c r="C17" s="8" t="s">
        <v>9</v>
      </c>
      <c r="D17" s="9" t="s">
        <v>10</v>
      </c>
      <c r="E17" s="56"/>
    </row>
    <row r="18" spans="2:5" s="7" customFormat="1" x14ac:dyDescent="0.25">
      <c r="B18" s="15">
        <v>2</v>
      </c>
      <c r="C18" s="10" t="s">
        <v>6</v>
      </c>
      <c r="D18" s="20">
        <v>128810100000159</v>
      </c>
      <c r="E18" s="56"/>
    </row>
    <row r="19" spans="2:5" s="7" customFormat="1" x14ac:dyDescent="0.25">
      <c r="B19" s="15">
        <v>3</v>
      </c>
      <c r="C19" s="10" t="s">
        <v>0</v>
      </c>
      <c r="D19" s="10" t="s">
        <v>20</v>
      </c>
      <c r="E19" s="56"/>
    </row>
    <row r="20" spans="2:5" s="7" customFormat="1" x14ac:dyDescent="0.25">
      <c r="B20" s="15">
        <v>4</v>
      </c>
      <c r="C20" s="10" t="s">
        <v>2</v>
      </c>
      <c r="D20" s="10" t="s">
        <v>3</v>
      </c>
      <c r="E20" s="56"/>
    </row>
    <row r="21" spans="2:5" s="7" customFormat="1" x14ac:dyDescent="0.25">
      <c r="B21" s="15">
        <v>5</v>
      </c>
      <c r="C21" s="10" t="s">
        <v>4</v>
      </c>
      <c r="D21" s="10" t="s">
        <v>21</v>
      </c>
      <c r="E21" s="57"/>
    </row>
  </sheetData>
  <mergeCells count="7">
    <mergeCell ref="H2:I2"/>
    <mergeCell ref="C2:D2"/>
    <mergeCell ref="E2:E7"/>
    <mergeCell ref="E9:E14"/>
    <mergeCell ref="E16:E21"/>
    <mergeCell ref="C16:D16"/>
    <mergeCell ref="C9:D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Board</vt:lpstr>
      <vt:lpstr>Thrust Area</vt:lpstr>
      <vt:lpstr>Resources</vt:lpstr>
      <vt:lpstr>Impact Stories</vt:lpstr>
      <vt:lpstr>Donor List</vt:lpstr>
      <vt:lpstr>Prog Details</vt:lpstr>
      <vt:lpstr>KeyAchievement</vt:lpstr>
      <vt:lpstr>Bank Ac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2026-02-06T03:18:39Z</dcterms:modified>
</cp:coreProperties>
</file>